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wanghc/github/R/helperFlowCell/ref/"/>
    </mc:Choice>
  </mc:AlternateContent>
  <xr:revisionPtr revIDLastSave="0" documentId="13_ncr:1_{90A32078-C514-C34D-A053-1B01C1B4AF9B}" xr6:coauthVersionLast="47" xr6:coauthVersionMax="47" xr10:uidLastSave="{00000000-0000-0000-0000-000000000000}"/>
  <bookViews>
    <workbookView xWindow="160" yWindow="500" windowWidth="28640" windowHeight="16140" tabRatio="500" xr2:uid="{00000000-000D-0000-FFFF-FFFF00000000}"/>
  </bookViews>
  <sheets>
    <sheet name="Complete Antibody list" sheetId="16" r:id="rId1"/>
  </sheets>
  <definedNames>
    <definedName name="_xlnm._FilterDatabase" localSheetId="0" hidden="1">'Complete Antibody list'!$A$1:$R$1027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721" i="16" l="1"/>
  <c r="A1004" i="16"/>
  <c r="A289" i="16"/>
  <c r="A410" i="16"/>
  <c r="A234" i="16"/>
  <c r="A210" i="16"/>
  <c r="A456" i="16"/>
  <c r="A664" i="16"/>
  <c r="A275" i="16"/>
  <c r="A547" i="16"/>
  <c r="A457" i="16"/>
  <c r="A213" i="16"/>
  <c r="A682" i="16"/>
  <c r="A869" i="16"/>
  <c r="A706" i="16"/>
  <c r="A419" i="16"/>
  <c r="A1025" i="16"/>
  <c r="A174" i="16"/>
  <c r="A175" i="16"/>
  <c r="A209" i="16"/>
  <c r="A208" i="16"/>
  <c r="A207" i="16"/>
  <c r="A206" i="16"/>
  <c r="A204" i="16"/>
  <c r="A205" i="16"/>
  <c r="A201" i="16"/>
  <c r="A202" i="16"/>
  <c r="A203" i="16"/>
  <c r="A199" i="16"/>
  <c r="A200" i="16"/>
  <c r="A198" i="16"/>
  <c r="A197" i="16"/>
  <c r="A194" i="16"/>
  <c r="A195" i="16"/>
  <c r="A196" i="16"/>
  <c r="A193" i="16"/>
  <c r="A192" i="16"/>
  <c r="A191" i="16"/>
  <c r="A190" i="16"/>
  <c r="A189" i="16"/>
  <c r="A187" i="16"/>
  <c r="A188" i="16"/>
  <c r="A184" i="16"/>
  <c r="A185" i="16"/>
  <c r="A186" i="16"/>
  <c r="A182" i="16"/>
  <c r="A183" i="16"/>
  <c r="A180" i="16"/>
  <c r="A181" i="16"/>
  <c r="A179" i="16"/>
  <c r="A178" i="16"/>
  <c r="A211" i="16"/>
  <c r="A214" i="16"/>
  <c r="A212" i="16"/>
  <c r="A215" i="16"/>
  <c r="A218" i="16"/>
  <c r="A217" i="16"/>
  <c r="A216" i="16"/>
  <c r="A220" i="16"/>
  <c r="A219" i="16"/>
  <c r="A221" i="16"/>
  <c r="A222" i="16"/>
  <c r="A223" i="16"/>
  <c r="A224" i="16"/>
  <c r="A225" i="16"/>
  <c r="A227" i="16"/>
  <c r="A226" i="16"/>
  <c r="A233" i="16"/>
  <c r="A232" i="16"/>
  <c r="A231" i="16"/>
  <c r="A230" i="16"/>
  <c r="A229" i="16"/>
  <c r="A228" i="16"/>
  <c r="A235" i="16"/>
  <c r="A237" i="16"/>
  <c r="A236" i="16"/>
  <c r="A238" i="16"/>
  <c r="A240" i="16"/>
  <c r="A239" i="16"/>
  <c r="A251" i="16"/>
  <c r="A250" i="16"/>
  <c r="A249" i="16"/>
  <c r="A248" i="16"/>
  <c r="A246" i="16"/>
  <c r="A247" i="16"/>
  <c r="A245" i="16"/>
  <c r="A243" i="16"/>
  <c r="A244" i="16"/>
  <c r="A242" i="16"/>
  <c r="A241" i="16"/>
  <c r="A257" i="16"/>
  <c r="A256" i="16"/>
  <c r="A254" i="16"/>
  <c r="A255" i="16"/>
  <c r="A253" i="16"/>
  <c r="A252" i="16"/>
  <c r="A258" i="16"/>
  <c r="A265" i="16"/>
  <c r="A264" i="16"/>
  <c r="A262" i="16"/>
  <c r="A261" i="16"/>
  <c r="A260" i="16"/>
  <c r="A259" i="16"/>
  <c r="A268" i="16"/>
  <c r="A267" i="16"/>
  <c r="A266" i="16"/>
  <c r="A270" i="16"/>
  <c r="A269" i="16"/>
  <c r="A274" i="16"/>
  <c r="A273" i="16"/>
  <c r="A272" i="16"/>
  <c r="A271" i="16"/>
  <c r="A276" i="16"/>
  <c r="A277" i="16"/>
  <c r="A283" i="16"/>
  <c r="A282" i="16"/>
  <c r="A281" i="16"/>
  <c r="A280" i="16"/>
  <c r="A278" i="16"/>
  <c r="A279" i="16"/>
  <c r="A284" i="16"/>
  <c r="A285" i="16"/>
  <c r="A286" i="16"/>
  <c r="A287" i="16"/>
  <c r="A299" i="16"/>
  <c r="A296" i="16"/>
  <c r="A295" i="16"/>
  <c r="A294" i="16"/>
  <c r="A293" i="16"/>
  <c r="A292" i="16"/>
  <c r="A291" i="16"/>
  <c r="A290" i="16"/>
  <c r="A288" i="16"/>
  <c r="A297" i="16"/>
  <c r="A300" i="16"/>
  <c r="A301" i="16"/>
  <c r="A302" i="16"/>
  <c r="A303" i="16"/>
  <c r="A307" i="16"/>
  <c r="A306" i="16"/>
  <c r="A305" i="16"/>
  <c r="A304" i="16"/>
  <c r="A316" i="16"/>
  <c r="A315" i="16"/>
  <c r="A314" i="16"/>
  <c r="A313" i="16"/>
  <c r="A312" i="16"/>
  <c r="A311" i="16"/>
  <c r="A310" i="16"/>
  <c r="A309" i="16"/>
  <c r="A308" i="16"/>
  <c r="A318" i="16"/>
  <c r="A317" i="16"/>
  <c r="A319" i="16"/>
  <c r="A321" i="16"/>
  <c r="A320" i="16"/>
  <c r="A325" i="16"/>
  <c r="A324" i="16"/>
  <c r="A323" i="16"/>
  <c r="A322" i="16"/>
  <c r="A327" i="16"/>
  <c r="A326" i="16"/>
  <c r="A328" i="16"/>
  <c r="A333" i="16"/>
  <c r="A332" i="16"/>
  <c r="A331" i="16"/>
  <c r="A330" i="16"/>
  <c r="A329" i="16"/>
  <c r="A338" i="16"/>
  <c r="A337" i="16"/>
  <c r="A336" i="16"/>
  <c r="A335" i="16"/>
  <c r="A334" i="16"/>
  <c r="A372" i="16"/>
  <c r="A371" i="16"/>
  <c r="A370" i="16"/>
  <c r="A369" i="16"/>
  <c r="A368" i="16"/>
  <c r="A365" i="16"/>
  <c r="A366" i="16"/>
  <c r="A367" i="16"/>
  <c r="A364" i="16"/>
  <c r="A363" i="16"/>
  <c r="A362" i="16"/>
  <c r="A360" i="16"/>
  <c r="A361" i="16"/>
  <c r="A359" i="16"/>
  <c r="A358" i="16"/>
  <c r="A357" i="16"/>
  <c r="A356" i="16"/>
  <c r="A355" i="16"/>
  <c r="A354" i="16"/>
  <c r="A353" i="16"/>
  <c r="A351" i="16"/>
  <c r="A352" i="16"/>
  <c r="A349" i="16"/>
  <c r="A350" i="16"/>
  <c r="A348" i="16"/>
  <c r="A346" i="16"/>
  <c r="A347" i="16"/>
  <c r="A345" i="16"/>
  <c r="A344" i="16"/>
  <c r="A343" i="16"/>
  <c r="A342" i="16"/>
  <c r="A341" i="16"/>
  <c r="A340" i="16"/>
  <c r="A339" i="16"/>
  <c r="A374" i="16"/>
  <c r="A373" i="16"/>
  <c r="A377" i="16"/>
  <c r="A376" i="16"/>
  <c r="A375" i="16"/>
  <c r="A380" i="16"/>
  <c r="A379" i="16"/>
  <c r="A378" i="16"/>
  <c r="A393" i="16"/>
  <c r="A392" i="16"/>
  <c r="A391" i="16"/>
  <c r="A390" i="16"/>
  <c r="A389" i="16"/>
  <c r="A387" i="16"/>
  <c r="A388" i="16"/>
  <c r="A386" i="16"/>
  <c r="A385" i="16"/>
  <c r="A384" i="16"/>
  <c r="A382" i="16"/>
  <c r="A383" i="16"/>
  <c r="A381" i="16"/>
  <c r="A394" i="16"/>
  <c r="A395" i="16"/>
  <c r="A401" i="16"/>
  <c r="A400" i="16"/>
  <c r="A399" i="16"/>
  <c r="A398" i="16"/>
  <c r="A397" i="16"/>
  <c r="A396" i="16"/>
  <c r="A409" i="16"/>
  <c r="A408" i="16"/>
  <c r="A407" i="16"/>
  <c r="A406" i="16"/>
  <c r="A405" i="16"/>
  <c r="A404" i="16"/>
  <c r="A403" i="16"/>
  <c r="A402" i="16"/>
  <c r="A421" i="16"/>
  <c r="A420" i="16"/>
  <c r="A418" i="16"/>
  <c r="A417" i="16"/>
  <c r="A416" i="16"/>
  <c r="A414" i="16"/>
  <c r="A415" i="16"/>
  <c r="A413" i="16"/>
  <c r="A412" i="16"/>
  <c r="A411" i="16"/>
  <c r="A446" i="16"/>
  <c r="A445" i="16"/>
  <c r="A444" i="16"/>
  <c r="A442" i="16"/>
  <c r="A443" i="16"/>
  <c r="A441" i="16"/>
  <c r="A440" i="16"/>
  <c r="A439" i="16"/>
  <c r="A437" i="16"/>
  <c r="A438" i="16"/>
  <c r="A435" i="16"/>
  <c r="A436" i="16"/>
  <c r="A434" i="16"/>
  <c r="A433" i="16"/>
  <c r="A432" i="16"/>
  <c r="A431" i="16"/>
  <c r="A430" i="16"/>
  <c r="A429" i="16"/>
  <c r="A428" i="16"/>
  <c r="A427" i="16"/>
  <c r="A426" i="16"/>
  <c r="A424" i="16"/>
  <c r="A425" i="16"/>
  <c r="A423" i="16"/>
  <c r="A422" i="16"/>
  <c r="A447" i="16"/>
  <c r="A448" i="16"/>
  <c r="A451" i="16"/>
  <c r="A450" i="16"/>
  <c r="A449" i="16"/>
  <c r="A452" i="16"/>
  <c r="A454" i="16"/>
  <c r="A453" i="16"/>
  <c r="A460" i="16"/>
  <c r="A461" i="16"/>
  <c r="A459" i="16"/>
  <c r="A458" i="16"/>
  <c r="A455" i="16"/>
  <c r="A462" i="16"/>
  <c r="A463" i="16"/>
  <c r="A468" i="16"/>
  <c r="A467" i="16"/>
  <c r="A466" i="16"/>
  <c r="A465" i="16"/>
  <c r="A464" i="16"/>
  <c r="A471" i="16"/>
  <c r="A470" i="16"/>
  <c r="A469" i="16"/>
  <c r="A473" i="16"/>
  <c r="A474" i="16"/>
  <c r="A472" i="16"/>
  <c r="A479" i="16"/>
  <c r="A477" i="16"/>
  <c r="A478" i="16"/>
  <c r="A475" i="16"/>
  <c r="A476" i="16"/>
  <c r="A480" i="16"/>
  <c r="A482" i="16"/>
  <c r="A481" i="16"/>
  <c r="A483" i="16"/>
  <c r="A484" i="16"/>
  <c r="A498" i="16"/>
  <c r="A497" i="16"/>
  <c r="A496" i="16"/>
  <c r="A495" i="16"/>
  <c r="A494" i="16"/>
  <c r="A493" i="16"/>
  <c r="A492" i="16"/>
  <c r="A491" i="16"/>
  <c r="A490" i="16"/>
  <c r="A489" i="16"/>
  <c r="A517" i="16"/>
  <c r="A488" i="16"/>
  <c r="A487" i="16"/>
  <c r="A486" i="16"/>
  <c r="A485" i="16"/>
  <c r="A501" i="16"/>
  <c r="A499" i="16"/>
  <c r="A500" i="16"/>
  <c r="A502" i="16"/>
  <c r="A503" i="16"/>
  <c r="A504" i="16"/>
  <c r="A506" i="16"/>
  <c r="A505" i="16"/>
  <c r="A510" i="16"/>
  <c r="A511" i="16"/>
  <c r="A509" i="16"/>
  <c r="A508" i="16"/>
  <c r="A507" i="16"/>
  <c r="A512" i="16"/>
  <c r="A525" i="16"/>
  <c r="A524" i="16"/>
  <c r="A523" i="16"/>
  <c r="A522" i="16"/>
  <c r="A521" i="16"/>
  <c r="A520" i="16"/>
  <c r="A518" i="16"/>
  <c r="A519" i="16"/>
  <c r="A516" i="16"/>
  <c r="A515" i="16"/>
  <c r="A514" i="16"/>
  <c r="A513" i="16"/>
  <c r="A529" i="16"/>
  <c r="A528" i="16"/>
  <c r="A526" i="16"/>
  <c r="A527" i="16"/>
  <c r="A534" i="16"/>
  <c r="A533" i="16"/>
  <c r="A532" i="16"/>
  <c r="A531" i="16"/>
  <c r="A530" i="16"/>
  <c r="A535" i="16"/>
  <c r="A536" i="16"/>
  <c r="A542" i="16"/>
  <c r="A543" i="16"/>
  <c r="A541" i="16"/>
  <c r="A540" i="16"/>
  <c r="A539" i="16"/>
  <c r="A538" i="16"/>
  <c r="A537" i="16"/>
  <c r="A545" i="16"/>
  <c r="A544" i="16"/>
  <c r="A546" i="16"/>
  <c r="A548" i="16"/>
  <c r="A549" i="16"/>
  <c r="A550" i="16"/>
  <c r="A554" i="16"/>
  <c r="A553" i="16"/>
  <c r="A552" i="16"/>
  <c r="A551" i="16"/>
  <c r="A555" i="16"/>
  <c r="A556" i="16"/>
  <c r="A557" i="16"/>
  <c r="A558" i="16"/>
  <c r="A559" i="16"/>
  <c r="A560" i="16"/>
  <c r="A561" i="16"/>
  <c r="A562" i="16"/>
  <c r="A563" i="16"/>
  <c r="A566" i="16"/>
  <c r="A567" i="16"/>
  <c r="A564" i="16"/>
  <c r="A565" i="16"/>
  <c r="A568" i="16"/>
  <c r="A570" i="16"/>
  <c r="A569" i="16"/>
  <c r="A575" i="16"/>
  <c r="A574" i="16"/>
  <c r="A573" i="16"/>
  <c r="A572" i="16"/>
  <c r="A571" i="16"/>
  <c r="A582" i="16"/>
  <c r="A581" i="16"/>
  <c r="A579" i="16"/>
  <c r="A580" i="16"/>
  <c r="A578" i="16"/>
  <c r="A577" i="16"/>
  <c r="A576" i="16"/>
  <c r="A583" i="16"/>
  <c r="A584" i="16"/>
  <c r="A585" i="16"/>
  <c r="A587" i="16"/>
  <c r="A588" i="16"/>
  <c r="A586" i="16"/>
  <c r="A592" i="16"/>
  <c r="A590" i="16"/>
  <c r="A589" i="16"/>
  <c r="A591" i="16"/>
  <c r="A597" i="16"/>
  <c r="A596" i="16"/>
  <c r="A593" i="16"/>
  <c r="A594" i="16"/>
  <c r="A595" i="16"/>
  <c r="A601" i="16"/>
  <c r="A600" i="16"/>
  <c r="A599" i="16"/>
  <c r="A598" i="16"/>
  <c r="A602" i="16"/>
  <c r="A604" i="16"/>
  <c r="A605" i="16"/>
  <c r="A603" i="16"/>
  <c r="A607" i="16"/>
  <c r="A606" i="16"/>
  <c r="A608" i="16"/>
  <c r="A615" i="16"/>
  <c r="A614" i="16"/>
  <c r="A613" i="16"/>
  <c r="A611" i="16"/>
  <c r="A612" i="16"/>
  <c r="A610" i="16"/>
  <c r="A609" i="16"/>
  <c r="A616" i="16"/>
  <c r="A620" i="16"/>
  <c r="A618" i="16"/>
  <c r="A619" i="16"/>
  <c r="A617" i="16"/>
  <c r="A625" i="16"/>
  <c r="A624" i="16"/>
  <c r="A623" i="16"/>
  <c r="A622" i="16"/>
  <c r="A621" i="16"/>
  <c r="A627" i="16"/>
  <c r="A626" i="16"/>
  <c r="A628" i="16"/>
  <c r="A631" i="16"/>
  <c r="A630" i="16"/>
  <c r="A629" i="16"/>
  <c r="A637" i="16"/>
  <c r="A636" i="16"/>
  <c r="A635" i="16"/>
  <c r="A634" i="16"/>
  <c r="A632" i="16"/>
  <c r="A633" i="16"/>
  <c r="A643" i="16"/>
  <c r="A642" i="16"/>
  <c r="A641" i="16"/>
  <c r="A640" i="16"/>
  <c r="A639" i="16"/>
  <c r="A638" i="16"/>
  <c r="A645" i="16"/>
  <c r="A644" i="16"/>
  <c r="A646" i="16"/>
  <c r="A647" i="16"/>
  <c r="A649" i="16"/>
  <c r="A648" i="16"/>
  <c r="A650" i="16"/>
  <c r="A651" i="16"/>
  <c r="A652" i="16"/>
  <c r="A653" i="16"/>
  <c r="A654" i="16"/>
  <c r="A659" i="16"/>
  <c r="A658" i="16"/>
  <c r="A657" i="16"/>
  <c r="A656" i="16"/>
  <c r="A655" i="16"/>
  <c r="A660" i="16"/>
  <c r="A661" i="16"/>
  <c r="A669" i="16"/>
  <c r="A668" i="16"/>
  <c r="A667" i="16"/>
  <c r="A666" i="16"/>
  <c r="A665" i="16"/>
  <c r="A663" i="16"/>
  <c r="A662" i="16"/>
  <c r="A670" i="16"/>
  <c r="A176" i="16"/>
  <c r="A685" i="16"/>
  <c r="A684" i="16"/>
  <c r="A688" i="16"/>
  <c r="A687" i="16"/>
  <c r="A686" i="16"/>
  <c r="A689" i="16"/>
  <c r="A690" i="16"/>
  <c r="A699" i="16"/>
  <c r="A698" i="16"/>
  <c r="A697" i="16"/>
  <c r="A696" i="16"/>
  <c r="A695" i="16"/>
  <c r="A694" i="16"/>
  <c r="A693" i="16"/>
  <c r="A691" i="16"/>
  <c r="A692" i="16"/>
  <c r="A705" i="16"/>
  <c r="A704" i="16"/>
  <c r="A703" i="16"/>
  <c r="A702" i="16"/>
  <c r="A701" i="16"/>
  <c r="A700" i="16"/>
  <c r="A707" i="16"/>
  <c r="A708" i="16"/>
  <c r="A713" i="16"/>
  <c r="A712" i="16"/>
  <c r="A711" i="16"/>
  <c r="A709" i="16"/>
  <c r="A717" i="16"/>
  <c r="A718" i="16"/>
  <c r="A716" i="16"/>
  <c r="A715" i="16"/>
  <c r="A714" i="16"/>
  <c r="A724" i="16"/>
  <c r="A723" i="16"/>
  <c r="A719" i="16"/>
  <c r="A728" i="16"/>
  <c r="A730" i="16"/>
  <c r="A729" i="16"/>
  <c r="A731" i="16"/>
  <c r="A732" i="16"/>
  <c r="A727" i="16"/>
  <c r="A725" i="16"/>
  <c r="A726" i="16"/>
  <c r="A722" i="16"/>
  <c r="A720" i="16"/>
  <c r="A733" i="16"/>
  <c r="A734" i="16"/>
  <c r="A736" i="16"/>
  <c r="A737" i="16"/>
  <c r="A735" i="16"/>
  <c r="A738" i="16"/>
  <c r="A740" i="16"/>
  <c r="A739" i="16"/>
  <c r="A743" i="16"/>
  <c r="A742" i="16"/>
  <c r="A744" i="16"/>
  <c r="A745" i="16"/>
  <c r="A746" i="16"/>
  <c r="A747" i="16"/>
  <c r="A749" i="16"/>
  <c r="A748" i="16"/>
  <c r="A750" i="16"/>
  <c r="A751" i="16"/>
  <c r="A752" i="16"/>
  <c r="A753" i="16"/>
  <c r="A754" i="16"/>
  <c r="A755" i="16"/>
  <c r="A760" i="16"/>
  <c r="A759" i="16"/>
  <c r="A758" i="16"/>
  <c r="A757" i="16"/>
  <c r="A756" i="16"/>
  <c r="A765" i="16"/>
  <c r="A763" i="16"/>
  <c r="A764" i="16"/>
  <c r="A762" i="16"/>
  <c r="A761" i="16"/>
  <c r="A771" i="16"/>
  <c r="A770" i="16"/>
  <c r="A769" i="16"/>
  <c r="A768" i="16"/>
  <c r="A767" i="16"/>
  <c r="A766" i="16"/>
  <c r="A772" i="16"/>
  <c r="A773" i="16"/>
  <c r="A774" i="16"/>
  <c r="A775" i="16"/>
  <c r="A776" i="16"/>
  <c r="A777" i="16"/>
  <c r="A778" i="16"/>
  <c r="A782" i="16"/>
  <c r="A780" i="16"/>
  <c r="A781" i="16"/>
  <c r="A779" i="16"/>
  <c r="A783" i="16"/>
  <c r="A795" i="16"/>
  <c r="A794" i="16"/>
  <c r="A793" i="16"/>
  <c r="A792" i="16"/>
  <c r="A791" i="16"/>
  <c r="A790" i="16"/>
  <c r="A789" i="16"/>
  <c r="A788" i="16"/>
  <c r="A787" i="16"/>
  <c r="A786" i="16"/>
  <c r="A785" i="16"/>
  <c r="A784" i="16"/>
  <c r="A797" i="16"/>
  <c r="A796" i="16"/>
  <c r="A798" i="16"/>
  <c r="A799" i="16"/>
  <c r="A800" i="16"/>
  <c r="A801" i="16"/>
  <c r="A802" i="16"/>
  <c r="A803" i="16"/>
  <c r="A817" i="16"/>
  <c r="A815" i="16"/>
  <c r="A816" i="16"/>
  <c r="A813" i="16"/>
  <c r="A814" i="16"/>
  <c r="A811" i="16"/>
  <c r="A812" i="16"/>
  <c r="A810" i="16"/>
  <c r="A809" i="16"/>
  <c r="A808" i="16"/>
  <c r="A807" i="16"/>
  <c r="A805" i="16"/>
  <c r="A806" i="16"/>
  <c r="A804" i="16"/>
  <c r="A818" i="16"/>
  <c r="A819" i="16"/>
  <c r="A820" i="16"/>
  <c r="A822" i="16"/>
  <c r="A823" i="16"/>
  <c r="A821" i="16"/>
  <c r="A824" i="16"/>
  <c r="A825" i="16"/>
  <c r="A834" i="16"/>
  <c r="A833" i="16"/>
  <c r="A828" i="16"/>
  <c r="A829" i="16"/>
  <c r="A830" i="16"/>
  <c r="A831" i="16"/>
  <c r="A832" i="16"/>
  <c r="A826" i="16"/>
  <c r="A827" i="16"/>
  <c r="A835" i="16"/>
  <c r="A836" i="16"/>
  <c r="A837" i="16"/>
  <c r="A838" i="16"/>
  <c r="A839" i="16"/>
  <c r="A840" i="16"/>
  <c r="A841" i="16"/>
  <c r="A843" i="16"/>
  <c r="A842" i="16"/>
  <c r="A846" i="16"/>
  <c r="A845" i="16"/>
  <c r="A847" i="16"/>
  <c r="A848" i="16"/>
  <c r="A883" i="16"/>
  <c r="A882" i="16"/>
  <c r="A881" i="16"/>
  <c r="A880" i="16"/>
  <c r="A878" i="16"/>
  <c r="A879" i="16"/>
  <c r="A877" i="16"/>
  <c r="A875" i="16"/>
  <c r="A876" i="16"/>
  <c r="A873" i="16"/>
  <c r="A874" i="16"/>
  <c r="A872" i="16"/>
  <c r="A871" i="16"/>
  <c r="A870" i="16"/>
  <c r="A741" i="16"/>
  <c r="A960" i="16"/>
  <c r="A15" i="16"/>
  <c r="A16" i="16"/>
  <c r="A17" i="16"/>
  <c r="A167" i="16"/>
  <c r="A672" i="16"/>
  <c r="A19" i="16"/>
  <c r="A119" i="16"/>
  <c r="A112" i="16"/>
  <c r="A146" i="16"/>
  <c r="A148" i="16"/>
  <c r="A150" i="16"/>
  <c r="A29" i="16"/>
  <c r="A31" i="16"/>
  <c r="A63" i="16"/>
  <c r="A26" i="16"/>
  <c r="A14" i="16"/>
  <c r="A13" i="16"/>
  <c r="A10" i="16"/>
  <c r="A168" i="16"/>
  <c r="A680" i="16"/>
  <c r="A676" i="16"/>
  <c r="A678" i="16"/>
  <c r="A109" i="16"/>
  <c r="A106" i="16"/>
  <c r="A679" i="16"/>
  <c r="A674" i="16"/>
  <c r="A675" i="16"/>
  <c r="A681" i="16"/>
  <c r="A677" i="16"/>
  <c r="A133" i="16"/>
  <c r="A154" i="16"/>
  <c r="A861" i="16"/>
  <c r="A860" i="16"/>
  <c r="A858" i="16"/>
  <c r="A854" i="16"/>
  <c r="A915" i="16"/>
  <c r="A1027" i="16"/>
  <c r="A1026" i="16"/>
  <c r="A161" i="16"/>
  <c r="A49" i="16"/>
  <c r="A857" i="16"/>
  <c r="A859" i="16"/>
  <c r="A849" i="16"/>
  <c r="A67" i="16"/>
  <c r="A50" i="16"/>
  <c r="A156" i="16"/>
  <c r="A888" i="16"/>
  <c r="A164" i="16"/>
  <c r="A158" i="16"/>
  <c r="A966" i="16"/>
  <c r="A64" i="16"/>
  <c r="A160" i="16"/>
  <c r="A136" i="16"/>
  <c r="A21" i="16"/>
  <c r="A159" i="16"/>
  <c r="A157" i="16"/>
  <c r="A25" i="16"/>
  <c r="A3" i="16"/>
  <c r="A5" i="16"/>
  <c r="A4" i="16"/>
  <c r="A6" i="16"/>
  <c r="A7" i="16"/>
  <c r="A8" i="16"/>
  <c r="A9" i="16"/>
  <c r="A12" i="16"/>
  <c r="A11" i="16"/>
  <c r="A18" i="16"/>
  <c r="A20" i="16"/>
  <c r="A22" i="16"/>
  <c r="A24" i="16"/>
  <c r="A23" i="16"/>
  <c r="A27" i="16"/>
  <c r="A30" i="16"/>
  <c r="A33" i="16"/>
  <c r="A34" i="16"/>
  <c r="A32" i="16"/>
  <c r="A35" i="16"/>
  <c r="A36" i="16"/>
  <c r="A37" i="16"/>
  <c r="A45" i="16"/>
  <c r="A39" i="16"/>
  <c r="A41" i="16"/>
  <c r="A43" i="16"/>
  <c r="A42" i="16"/>
  <c r="A44" i="16"/>
  <c r="A38" i="16"/>
  <c r="A46" i="16"/>
  <c r="A47" i="16"/>
  <c r="A40" i="16"/>
  <c r="A51" i="16"/>
  <c r="A56" i="16"/>
  <c r="A60" i="16"/>
  <c r="A61" i="16"/>
  <c r="A52" i="16"/>
  <c r="A55" i="16"/>
  <c r="A59" i="16"/>
  <c r="A62" i="16"/>
  <c r="A53" i="16"/>
  <c r="A48" i="16"/>
  <c r="A54" i="16"/>
  <c r="A58" i="16"/>
  <c r="A57" i="16"/>
  <c r="A71" i="16"/>
  <c r="A65" i="16"/>
  <c r="A77" i="16"/>
  <c r="A72" i="16"/>
  <c r="A68" i="16"/>
  <c r="A69" i="16"/>
  <c r="A78" i="16"/>
  <c r="A74" i="16"/>
  <c r="A66" i="16"/>
  <c r="A75" i="16"/>
  <c r="A76" i="16"/>
  <c r="A73" i="16"/>
  <c r="A70" i="16"/>
  <c r="A85" i="16"/>
  <c r="A81" i="16"/>
  <c r="A90" i="16"/>
  <c r="A104" i="16"/>
  <c r="A84" i="16"/>
  <c r="A100" i="16"/>
  <c r="A93" i="16"/>
  <c r="A79" i="16"/>
  <c r="A98" i="16"/>
  <c r="A96" i="16"/>
  <c r="A99" i="16"/>
  <c r="A83" i="16"/>
  <c r="A103" i="16"/>
  <c r="A101" i="16"/>
  <c r="A86" i="16"/>
  <c r="A87" i="16"/>
  <c r="A91" i="16"/>
  <c r="A92" i="16"/>
  <c r="A95" i="16"/>
  <c r="A82" i="16"/>
  <c r="A102" i="16"/>
  <c r="A80" i="16"/>
  <c r="A97" i="16"/>
  <c r="A89" i="16"/>
  <c r="A94" i="16"/>
  <c r="A88" i="16"/>
  <c r="A107" i="16"/>
  <c r="A105" i="16"/>
  <c r="A108" i="16"/>
  <c r="A110" i="16"/>
  <c r="A111" i="16"/>
  <c r="A115" i="16"/>
  <c r="A118" i="16"/>
  <c r="A117" i="16"/>
  <c r="A113" i="16"/>
  <c r="A116" i="16"/>
  <c r="A114" i="16"/>
  <c r="A120" i="16"/>
  <c r="A122" i="16"/>
  <c r="A128" i="16"/>
  <c r="A123" i="16"/>
  <c r="A126" i="16"/>
  <c r="A121" i="16"/>
  <c r="A124" i="16"/>
  <c r="A125" i="16"/>
  <c r="A127" i="16"/>
  <c r="A132" i="16"/>
  <c r="A130" i="16"/>
  <c r="A131" i="16"/>
  <c r="A134" i="16"/>
  <c r="A135" i="16"/>
  <c r="A137" i="16"/>
  <c r="A140" i="16"/>
  <c r="A139" i="16"/>
  <c r="A138" i="16"/>
  <c r="A141" i="16"/>
  <c r="A142" i="16"/>
  <c r="A144" i="16"/>
  <c r="A143" i="16"/>
  <c r="A153" i="16"/>
  <c r="A151" i="16"/>
  <c r="A152" i="16"/>
  <c r="A147" i="16"/>
  <c r="A155" i="16"/>
  <c r="A165" i="16"/>
  <c r="A162" i="16"/>
  <c r="A163" i="16"/>
  <c r="A166" i="16"/>
  <c r="A170" i="16"/>
  <c r="A169" i="16"/>
  <c r="A171" i="16"/>
  <c r="A172" i="16"/>
  <c r="A173" i="16"/>
  <c r="A177" i="16"/>
  <c r="A1022" i="16"/>
  <c r="A944" i="16"/>
  <c r="A945" i="16"/>
  <c r="A671" i="16"/>
  <c r="A683" i="16"/>
  <c r="A862" i="16"/>
  <c r="A865" i="16"/>
  <c r="A853" i="16"/>
  <c r="A850" i="16"/>
  <c r="A867" i="16"/>
  <c r="A868" i="16"/>
  <c r="A864" i="16"/>
  <c r="A852" i="16"/>
  <c r="A851" i="16"/>
  <c r="A884" i="16"/>
  <c r="A885" i="16"/>
  <c r="A886" i="16"/>
  <c r="A887" i="16"/>
  <c r="A895" i="16"/>
  <c r="A893" i="16"/>
  <c r="A889" i="16"/>
  <c r="A894" i="16"/>
  <c r="A892" i="16"/>
  <c r="A890" i="16"/>
  <c r="A896" i="16"/>
  <c r="A898" i="16"/>
  <c r="A899" i="16"/>
  <c r="A900" i="16"/>
  <c r="A901" i="16"/>
  <c r="A897" i="16"/>
  <c r="A906" i="16"/>
  <c r="A907" i="16"/>
  <c r="A911" i="16"/>
  <c r="A904" i="16"/>
  <c r="A912" i="16"/>
  <c r="A909" i="16"/>
  <c r="A910" i="16"/>
  <c r="A913" i="16"/>
  <c r="A908" i="16"/>
  <c r="A902" i="16"/>
  <c r="A903" i="16"/>
  <c r="A905" i="16"/>
  <c r="A914" i="16"/>
  <c r="A916" i="16"/>
  <c r="A917" i="16"/>
  <c r="A922" i="16"/>
  <c r="A919" i="16"/>
  <c r="A920" i="16"/>
  <c r="A921" i="16"/>
  <c r="A926" i="16"/>
  <c r="A932" i="16"/>
  <c r="A930" i="16"/>
  <c r="A927" i="16"/>
  <c r="A925" i="16"/>
  <c r="A934" i="16"/>
  <c r="A923" i="16"/>
  <c r="A924" i="16"/>
  <c r="A928" i="16"/>
  <c r="A933" i="16"/>
  <c r="A929" i="16"/>
  <c r="A931" i="16"/>
  <c r="A935" i="16"/>
  <c r="A939" i="16"/>
  <c r="A936" i="16"/>
  <c r="A937" i="16"/>
  <c r="A938" i="16"/>
  <c r="A940" i="16"/>
  <c r="A943" i="16"/>
  <c r="A942" i="16"/>
  <c r="A941" i="16"/>
  <c r="A946" i="16"/>
  <c r="A947" i="16"/>
  <c r="A949" i="16"/>
  <c r="A948" i="16"/>
  <c r="A954" i="16"/>
  <c r="A950" i="16"/>
  <c r="A951" i="16"/>
  <c r="A952" i="16"/>
  <c r="A955" i="16"/>
  <c r="A953" i="16"/>
  <c r="A956" i="16"/>
  <c r="A957" i="16"/>
  <c r="A958" i="16"/>
  <c r="A959" i="16"/>
  <c r="A961" i="16"/>
  <c r="A964" i="16"/>
  <c r="A962" i="16"/>
  <c r="A965" i="16"/>
  <c r="A967" i="16"/>
  <c r="A968" i="16"/>
  <c r="A969" i="16"/>
  <c r="A970" i="16"/>
  <c r="A971" i="16"/>
  <c r="A972" i="16"/>
  <c r="A973" i="16"/>
  <c r="A974" i="16"/>
  <c r="A975" i="16"/>
  <c r="A976" i="16"/>
  <c r="A977" i="16"/>
  <c r="A978" i="16"/>
  <c r="A979" i="16"/>
  <c r="A980" i="16"/>
  <c r="A981" i="16"/>
  <c r="A983" i="16"/>
  <c r="A982" i="16"/>
  <c r="A984" i="16"/>
  <c r="A985" i="16"/>
  <c r="A986" i="16"/>
  <c r="A987" i="16"/>
  <c r="A988" i="16"/>
  <c r="A989" i="16"/>
  <c r="A990" i="16"/>
  <c r="A991" i="16"/>
  <c r="A992" i="16"/>
  <c r="A993" i="16"/>
  <c r="A994" i="16"/>
  <c r="A995" i="16"/>
  <c r="A996" i="16"/>
  <c r="A997" i="16"/>
  <c r="A1000" i="16"/>
  <c r="A1001" i="16"/>
  <c r="A999" i="16"/>
  <c r="A998" i="16"/>
  <c r="A1005" i="16"/>
  <c r="A1003" i="16"/>
  <c r="A1002" i="16"/>
  <c r="A1006" i="16"/>
  <c r="A1007" i="16"/>
  <c r="A1010" i="16"/>
  <c r="A1008" i="16"/>
  <c r="A1009" i="16"/>
  <c r="A1011" i="16"/>
  <c r="A1012" i="16"/>
  <c r="A1014" i="16"/>
  <c r="A1015" i="16"/>
  <c r="A1016" i="16"/>
  <c r="A1017" i="16"/>
  <c r="A1021" i="16"/>
  <c r="A1019" i="16"/>
  <c r="A1024" i="16"/>
  <c r="A1023" i="16"/>
  <c r="A2" i="16"/>
</calcChain>
</file>

<file path=xl/sharedStrings.xml><?xml version="1.0" encoding="utf-8"?>
<sst xmlns="http://schemas.openxmlformats.org/spreadsheetml/2006/main" count="6471" uniqueCount="1248">
  <si>
    <t>Count</t>
  </si>
  <si>
    <t>Main</t>
  </si>
  <si>
    <t>backup</t>
  </si>
  <si>
    <t>Missing</t>
  </si>
  <si>
    <t>Antibody</t>
  </si>
  <si>
    <t>Fluorophor</t>
  </si>
  <si>
    <t>Alternative Name</t>
  </si>
  <si>
    <t>Clone</t>
  </si>
  <si>
    <t>Isotype</t>
  </si>
  <si>
    <t>company</t>
  </si>
  <si>
    <t>Catalog Nr.</t>
  </si>
  <si>
    <t>Notes and Grades</t>
  </si>
  <si>
    <t>bio</t>
  </si>
  <si>
    <t> </t>
  </si>
  <si>
    <t>homemade (Ton)</t>
  </si>
  <si>
    <t>17?12</t>
  </si>
  <si>
    <t>Biotin</t>
  </si>
  <si>
    <t>Home-made</t>
  </si>
  <si>
    <t>7A5</t>
  </si>
  <si>
    <t>Cy5.5</t>
  </si>
  <si>
    <t>Homemade (Ton)</t>
  </si>
  <si>
    <t>7AAD</t>
  </si>
  <si>
    <t>Biolegend</t>
  </si>
  <si>
    <t>9B9</t>
  </si>
  <si>
    <t>A488</t>
  </si>
  <si>
    <t>home-made</t>
  </si>
  <si>
    <t>A647</t>
  </si>
  <si>
    <t>Bio</t>
  </si>
  <si>
    <t>A11?</t>
  </si>
  <si>
    <t>AnnexinV</t>
  </si>
  <si>
    <t>FITC</t>
  </si>
  <si>
    <t>BD Pharmingen</t>
  </si>
  <si>
    <t>BV605</t>
  </si>
  <si>
    <t>PE</t>
  </si>
  <si>
    <t>REA356</t>
  </si>
  <si>
    <t>Miltenyi</t>
  </si>
  <si>
    <t>130-105-430</t>
  </si>
  <si>
    <t>BFA</t>
  </si>
  <si>
    <t>Protein transport inhibitor</t>
  </si>
  <si>
    <t>BD Bioscience</t>
  </si>
  <si>
    <t>51-2301KZ</t>
  </si>
  <si>
    <t>BrdU</t>
  </si>
  <si>
    <t>APC</t>
  </si>
  <si>
    <t>3D4</t>
  </si>
  <si>
    <t>MoBU-1</t>
  </si>
  <si>
    <t>51-23619L</t>
  </si>
  <si>
    <t>CD103</t>
  </si>
  <si>
    <t>2E7</t>
  </si>
  <si>
    <t>eBioscience</t>
  </si>
  <si>
    <t>13-1031-85</t>
  </si>
  <si>
    <t>CD105</t>
  </si>
  <si>
    <t>Pacific Blue</t>
  </si>
  <si>
    <t>Endoglin</t>
  </si>
  <si>
    <t>MJ7/18</t>
  </si>
  <si>
    <t>biolegend</t>
  </si>
  <si>
    <t>Mj7/18</t>
  </si>
  <si>
    <t>CD106</t>
  </si>
  <si>
    <t>AF647</t>
  </si>
  <si>
    <t>CD112</t>
  </si>
  <si>
    <t>5H4</t>
  </si>
  <si>
    <t>12-1221-82</t>
  </si>
  <si>
    <t>CD115</t>
  </si>
  <si>
    <t>Pe efluor610</t>
  </si>
  <si>
    <t>M-CSFR</t>
  </si>
  <si>
    <t>AFS98</t>
  </si>
  <si>
    <t>61-1152-80</t>
  </si>
  <si>
    <t>Bv605</t>
  </si>
  <si>
    <t>AF298</t>
  </si>
  <si>
    <t>Bv711</t>
  </si>
  <si>
    <t>12-1152-81</t>
  </si>
  <si>
    <t>Pe/Cy7</t>
  </si>
  <si>
    <t>25-1152-82</t>
  </si>
  <si>
    <t>Homemade</t>
  </si>
  <si>
    <t>CD117</t>
  </si>
  <si>
    <t>Alexa 488</t>
  </si>
  <si>
    <t>2B8</t>
  </si>
  <si>
    <t>Ton</t>
  </si>
  <si>
    <t>Pe</t>
  </si>
  <si>
    <t>12-1171-82</t>
  </si>
  <si>
    <t>ACK2</t>
  </si>
  <si>
    <t>Inhibiting clone</t>
  </si>
  <si>
    <t>1/800</t>
  </si>
  <si>
    <t>not good</t>
  </si>
  <si>
    <t>APC-Cy7</t>
  </si>
  <si>
    <t>APC Fire 750</t>
  </si>
  <si>
    <t>BV421</t>
  </si>
  <si>
    <t>Ter-119</t>
  </si>
  <si>
    <t>CD11b</t>
  </si>
  <si>
    <t>Bv785</t>
  </si>
  <si>
    <t>M1/70</t>
  </si>
  <si>
    <t>PerCP-Cy5.5</t>
  </si>
  <si>
    <t>Alexa Fluor 700</t>
  </si>
  <si>
    <t>56-0112-82</t>
  </si>
  <si>
    <t>M1/70?</t>
  </si>
  <si>
    <t>12-0112-85</t>
  </si>
  <si>
    <t>Bottle</t>
  </si>
  <si>
    <t>PB</t>
  </si>
  <si>
    <t>CD11c</t>
  </si>
  <si>
    <t>N418</t>
  </si>
  <si>
    <t>Resolution not optimal</t>
  </si>
  <si>
    <t>Poor resolution, increase concentration</t>
  </si>
  <si>
    <t>Pe-Cy5</t>
  </si>
  <si>
    <t>Do not use</t>
  </si>
  <si>
    <t>HL3</t>
  </si>
  <si>
    <t>Cd11c</t>
  </si>
  <si>
    <t>PE/Dazzle</t>
  </si>
  <si>
    <t>PE-Cy7</t>
  </si>
  <si>
    <t>BUV395</t>
  </si>
  <si>
    <t>BUV496</t>
  </si>
  <si>
    <t>BV650</t>
  </si>
  <si>
    <t>BV711</t>
  </si>
  <si>
    <t>APC/Cy7</t>
  </si>
  <si>
    <t>PE/Cy5</t>
  </si>
  <si>
    <t>A700</t>
  </si>
  <si>
    <t>BV570</t>
  </si>
  <si>
    <t>BV785</t>
  </si>
  <si>
    <t>BV510</t>
  </si>
  <si>
    <t xml:space="preserve">CD11c </t>
  </si>
  <si>
    <t>eBiocience</t>
  </si>
  <si>
    <t>CD122</t>
  </si>
  <si>
    <t>IL-2Rb</t>
  </si>
  <si>
    <t>CD127</t>
  </si>
  <si>
    <t>IL-7Ra</t>
  </si>
  <si>
    <t>A7R34</t>
  </si>
  <si>
    <t>Pe-Cy7</t>
  </si>
  <si>
    <t>IL-7R</t>
  </si>
  <si>
    <t>eBioSB/199</t>
  </si>
  <si>
    <t>25-1273-82</t>
  </si>
  <si>
    <t>Bad Resolution</t>
  </si>
  <si>
    <t>12-1271-81</t>
  </si>
  <si>
    <t>12-1271-82</t>
  </si>
  <si>
    <t>CD130</t>
  </si>
  <si>
    <t>4H1B356</t>
  </si>
  <si>
    <t>BIolegend</t>
  </si>
  <si>
    <t>CD135</t>
  </si>
  <si>
    <t>A2F10</t>
  </si>
  <si>
    <t>PerCP eFluor710</t>
  </si>
  <si>
    <t>FLT3</t>
  </si>
  <si>
    <t>46-1351-82</t>
  </si>
  <si>
    <t>AF488</t>
  </si>
  <si>
    <t>weak</t>
  </si>
  <si>
    <t>cd135</t>
  </si>
  <si>
    <t>12-1351-83</t>
  </si>
  <si>
    <t>CD138</t>
  </si>
  <si>
    <t>281-2</t>
  </si>
  <si>
    <t>CD14</t>
  </si>
  <si>
    <t>Sa2-8</t>
  </si>
  <si>
    <t>13-0141-82</t>
  </si>
  <si>
    <t>Bv510</t>
  </si>
  <si>
    <t>Sa14-2</t>
  </si>
  <si>
    <t>CD146</t>
  </si>
  <si>
    <t>ME-9F1</t>
  </si>
  <si>
    <t>CD150</t>
  </si>
  <si>
    <t>TC15-12F12.2</t>
  </si>
  <si>
    <t>CD152</t>
  </si>
  <si>
    <t>UC10-4B9</t>
  </si>
  <si>
    <t>CD153</t>
  </si>
  <si>
    <t>RM153</t>
  </si>
  <si>
    <t>13-1531-81</t>
  </si>
  <si>
    <t>CD157</t>
  </si>
  <si>
    <t>BST-1</t>
  </si>
  <si>
    <t>BP-3</t>
  </si>
  <si>
    <t>cd157</t>
  </si>
  <si>
    <t>CD16/32</t>
  </si>
  <si>
    <t>purified</t>
  </si>
  <si>
    <t>BIOlegend</t>
  </si>
  <si>
    <t>S17011E</t>
  </si>
  <si>
    <t>2.4G2</t>
  </si>
  <si>
    <t>CD169</t>
  </si>
  <si>
    <t>Siglec-1</t>
  </si>
  <si>
    <t>3D6.112</t>
  </si>
  <si>
    <t>CD172a</t>
  </si>
  <si>
    <t>PerCP-eFluor 710</t>
  </si>
  <si>
    <t>P84</t>
  </si>
  <si>
    <t>46-1721-82</t>
  </si>
  <si>
    <t>17-1721-80</t>
  </si>
  <si>
    <t>CD172α</t>
  </si>
  <si>
    <t>Pe/Dazzle 594</t>
  </si>
  <si>
    <t>CD180</t>
  </si>
  <si>
    <t>RP105</t>
  </si>
  <si>
    <t>RP/14</t>
  </si>
  <si>
    <t>13-1801-82</t>
  </si>
  <si>
    <t>CD183</t>
  </si>
  <si>
    <t>CXCR3</t>
  </si>
  <si>
    <t>CXCR3-173</t>
  </si>
  <si>
    <t>CD184</t>
  </si>
  <si>
    <t>PE-Vio615</t>
  </si>
  <si>
    <t xml:space="preserve"> (CXCR4)</t>
  </si>
  <si>
    <t>REA107</t>
  </si>
  <si>
    <t>130-107-654</t>
  </si>
  <si>
    <t>PerCP/Cy5.5</t>
  </si>
  <si>
    <t xml:space="preserve"> CXCR4</t>
  </si>
  <si>
    <t>L276F12</t>
  </si>
  <si>
    <t>CD185</t>
  </si>
  <si>
    <t>CXCR5</t>
  </si>
  <si>
    <t>2GB</t>
  </si>
  <si>
    <t>L138D7</t>
  </si>
  <si>
    <t>CD19</t>
  </si>
  <si>
    <t>6D5</t>
  </si>
  <si>
    <t>6D6</t>
  </si>
  <si>
    <t>PeTxRd</t>
  </si>
  <si>
    <t>1D3</t>
  </si>
  <si>
    <t>RPE</t>
  </si>
  <si>
    <t>BD</t>
  </si>
  <si>
    <t>CD192</t>
  </si>
  <si>
    <t>CCR2</t>
  </si>
  <si>
    <t>SA203G11</t>
  </si>
  <si>
    <t>CD196</t>
  </si>
  <si>
    <t>PETR</t>
  </si>
  <si>
    <t>CCR6</t>
  </si>
  <si>
    <t>29-2L17</t>
  </si>
  <si>
    <t>CD197</t>
  </si>
  <si>
    <t>CCR7</t>
  </si>
  <si>
    <t>4B12</t>
  </si>
  <si>
    <t>CD199</t>
  </si>
  <si>
    <t>CCR9</t>
  </si>
  <si>
    <t>9B1</t>
  </si>
  <si>
    <t>CW-1.2</t>
  </si>
  <si>
    <t>128709</t>
  </si>
  <si>
    <t>128712</t>
  </si>
  <si>
    <t>CD1d</t>
  </si>
  <si>
    <t>1B1</t>
  </si>
  <si>
    <t>CD20</t>
  </si>
  <si>
    <t>SA275A11</t>
  </si>
  <si>
    <t>CD200</t>
  </si>
  <si>
    <t>OX-2</t>
  </si>
  <si>
    <t>OX-90</t>
  </si>
  <si>
    <t>CD207</t>
  </si>
  <si>
    <t>4C7</t>
  </si>
  <si>
    <t>CD209</t>
  </si>
  <si>
    <t>DC SIGN</t>
  </si>
  <si>
    <t>LWC06</t>
  </si>
  <si>
    <t>12-2092-80</t>
  </si>
  <si>
    <t>CD209a</t>
  </si>
  <si>
    <t>eBIoscience</t>
  </si>
  <si>
    <t>13-2092-80</t>
  </si>
  <si>
    <t>invitrogen</t>
  </si>
  <si>
    <t>12-2092-82</t>
  </si>
  <si>
    <t>CD21</t>
  </si>
  <si>
    <t>eBio8D9</t>
  </si>
  <si>
    <t>12-0211-82</t>
  </si>
  <si>
    <t>7G6?</t>
  </si>
  <si>
    <t>CD21/35</t>
  </si>
  <si>
    <t>7E9</t>
  </si>
  <si>
    <t>CD21/CD35</t>
  </si>
  <si>
    <t>CR2/CR1</t>
  </si>
  <si>
    <t>CD22</t>
  </si>
  <si>
    <t>PharMingen</t>
  </si>
  <si>
    <t>01594D</t>
  </si>
  <si>
    <t>CD226</t>
  </si>
  <si>
    <t>Bv650</t>
  </si>
  <si>
    <t>Tx42.1</t>
  </si>
  <si>
    <t>CD23</t>
  </si>
  <si>
    <t>B3B4</t>
  </si>
  <si>
    <t>01234D</t>
  </si>
  <si>
    <t>01232D</t>
  </si>
  <si>
    <t>APCCy7</t>
  </si>
  <si>
    <t>CD24</t>
  </si>
  <si>
    <t>PeDazzle</t>
  </si>
  <si>
    <t>M1/69</t>
  </si>
  <si>
    <t>01572D</t>
  </si>
  <si>
    <t>CD244</t>
  </si>
  <si>
    <t>2B4</t>
  </si>
  <si>
    <t>01702A</t>
  </si>
  <si>
    <t>CD25</t>
  </si>
  <si>
    <t>PC61</t>
  </si>
  <si>
    <t xml:space="preserve">CD25 </t>
  </si>
  <si>
    <t>AF594</t>
  </si>
  <si>
    <t>3C7</t>
  </si>
  <si>
    <t>CD26</t>
  </si>
  <si>
    <t>H194-112</t>
  </si>
  <si>
    <t>CD27</t>
  </si>
  <si>
    <t>LG3A10</t>
  </si>
  <si>
    <t>PerCPCy5.5</t>
  </si>
  <si>
    <t>LG.3A10</t>
  </si>
  <si>
    <t>CD28</t>
  </si>
  <si>
    <t>37.S1</t>
  </si>
  <si>
    <t>CD289</t>
  </si>
  <si>
    <t>TLR9</t>
  </si>
  <si>
    <t>M9.D6</t>
  </si>
  <si>
    <t>13-9093-81</t>
  </si>
  <si>
    <t>CD3</t>
  </si>
  <si>
    <t>17A2</t>
  </si>
  <si>
    <t>145-2C11</t>
  </si>
  <si>
    <t>CD300c/d</t>
  </si>
  <si>
    <t>Tx52</t>
  </si>
  <si>
    <t>CD301b</t>
  </si>
  <si>
    <t>eFluor® 660</t>
  </si>
  <si>
    <t>Mgl2</t>
  </si>
  <si>
    <t>11A10-B7</t>
  </si>
  <si>
    <t>50-3011-82</t>
  </si>
  <si>
    <t>CD31</t>
  </si>
  <si>
    <t>01955B</t>
  </si>
  <si>
    <t>CD317</t>
  </si>
  <si>
    <t>BST2</t>
  </si>
  <si>
    <t>CD326</t>
  </si>
  <si>
    <t>EpCAM</t>
  </si>
  <si>
    <t>G8.8</t>
  </si>
  <si>
    <t>CD335</t>
  </si>
  <si>
    <t>29A1.4</t>
  </si>
  <si>
    <t>CD34</t>
  </si>
  <si>
    <t>RAM34</t>
  </si>
  <si>
    <t>01605B</t>
  </si>
  <si>
    <t>13-0341-82</t>
  </si>
  <si>
    <t>CD365</t>
  </si>
  <si>
    <t>RMT1-4</t>
  </si>
  <si>
    <t>CD370</t>
  </si>
  <si>
    <t>Clec9a</t>
  </si>
  <si>
    <t>REA941</t>
  </si>
  <si>
    <t>130-115-527</t>
  </si>
  <si>
    <t>CD38</t>
  </si>
  <si>
    <t>13-0381-81</t>
  </si>
  <si>
    <t>17-0381-82</t>
  </si>
  <si>
    <t>AF700</t>
  </si>
  <si>
    <t>56-0381-82</t>
  </si>
  <si>
    <t>CD3e</t>
  </si>
  <si>
    <t>AF 647</t>
  </si>
  <si>
    <t>Armenian Hamster IgG</t>
  </si>
  <si>
    <t>CD4</t>
  </si>
  <si>
    <t>GK1.5</t>
  </si>
  <si>
    <t>Fire 750</t>
  </si>
  <si>
    <t>Bv570</t>
  </si>
  <si>
    <t>RM4-5</t>
  </si>
  <si>
    <t>APC/Fire 750</t>
  </si>
  <si>
    <t>RM4-4</t>
  </si>
  <si>
    <t>CD40</t>
  </si>
  <si>
    <t>CD41</t>
  </si>
  <si>
    <t>MWReg30</t>
  </si>
  <si>
    <t>CD43</t>
  </si>
  <si>
    <t>1B11</t>
  </si>
  <si>
    <t>01602D</t>
  </si>
  <si>
    <t>eBioR2/60</t>
  </si>
  <si>
    <t>12-0431-81</t>
  </si>
  <si>
    <t>CD44</t>
  </si>
  <si>
    <t>cd44</t>
  </si>
  <si>
    <t>IM7</t>
  </si>
  <si>
    <t>12-0441-83</t>
  </si>
  <si>
    <t>25-0441-82</t>
  </si>
  <si>
    <t>Cy-Chrome</t>
  </si>
  <si>
    <t>Ly-24 or Pgp-1</t>
  </si>
  <si>
    <t>CD44v10</t>
  </si>
  <si>
    <t>K926</t>
  </si>
  <si>
    <t>`</t>
  </si>
  <si>
    <t>CD45</t>
  </si>
  <si>
    <t>30-F11</t>
  </si>
  <si>
    <t>eBiolegend</t>
  </si>
  <si>
    <t>01112D</t>
  </si>
  <si>
    <t>CD45.1</t>
  </si>
  <si>
    <t>A20</t>
  </si>
  <si>
    <t>12-0453-82</t>
  </si>
  <si>
    <t>CD45.2</t>
  </si>
  <si>
    <t>CD45R</t>
  </si>
  <si>
    <t>B220</t>
  </si>
  <si>
    <t>RA3-6B2</t>
  </si>
  <si>
    <t>eFluor 450</t>
  </si>
  <si>
    <t>48-0452-82</t>
  </si>
  <si>
    <t>BV 570</t>
  </si>
  <si>
    <t>PeDazzle 594</t>
  </si>
  <si>
    <t>01128A</t>
  </si>
  <si>
    <t>PE-TxRed</t>
  </si>
  <si>
    <t>Atto-488</t>
  </si>
  <si>
    <t>CD45RA</t>
  </si>
  <si>
    <t>130-102-526</t>
  </si>
  <si>
    <t>CD45RB</t>
  </si>
  <si>
    <t>C363-16A</t>
  </si>
  <si>
    <t>CD48</t>
  </si>
  <si>
    <t>HM48-1</t>
  </si>
  <si>
    <t>11-0481-82</t>
  </si>
  <si>
    <t>CD49b</t>
  </si>
  <si>
    <t>DX5</t>
  </si>
  <si>
    <t>CD49e</t>
  </si>
  <si>
    <t>5H10-27</t>
  </si>
  <si>
    <t>CD5</t>
  </si>
  <si>
    <t>53-7.3</t>
  </si>
  <si>
    <t>Ly-1</t>
  </si>
  <si>
    <t>01032D</t>
  </si>
  <si>
    <t>CD55</t>
  </si>
  <si>
    <t>RIKO-3</t>
  </si>
  <si>
    <t>CD61</t>
  </si>
  <si>
    <t>2C9.G2</t>
  </si>
  <si>
    <t>CD62L</t>
  </si>
  <si>
    <t>Mel-14</t>
  </si>
  <si>
    <t>MEL-14</t>
  </si>
  <si>
    <t>CD64</t>
  </si>
  <si>
    <t>X54-5/7.1</t>
  </si>
  <si>
    <t>CD66a</t>
  </si>
  <si>
    <t>CD69</t>
  </si>
  <si>
    <t>PeCy7</t>
  </si>
  <si>
    <t>H1.2F3</t>
  </si>
  <si>
    <t>104512</t>
  </si>
  <si>
    <t>01502D</t>
  </si>
  <si>
    <t>CD70</t>
  </si>
  <si>
    <t>FR70</t>
  </si>
  <si>
    <t>CD71</t>
  </si>
  <si>
    <t>RI7217</t>
  </si>
  <si>
    <t>CD72</t>
  </si>
  <si>
    <t>Jy/93</t>
  </si>
  <si>
    <t>CD73</t>
  </si>
  <si>
    <t>TY/11.8</t>
  </si>
  <si>
    <t>CD8</t>
  </si>
  <si>
    <t>DL-649</t>
  </si>
  <si>
    <t>53-6.7</t>
  </si>
  <si>
    <t>Pe/Cy5</t>
  </si>
  <si>
    <t>PE/Cy7</t>
  </si>
  <si>
    <t>CD80</t>
  </si>
  <si>
    <t>16-10A1</t>
  </si>
  <si>
    <t>01944D</t>
  </si>
  <si>
    <t>CD81</t>
  </si>
  <si>
    <t>CD86</t>
  </si>
  <si>
    <t>GL-1</t>
  </si>
  <si>
    <t>pharMingen</t>
  </si>
  <si>
    <t>0923B</t>
  </si>
  <si>
    <t>CD88</t>
  </si>
  <si>
    <t>CD8a</t>
  </si>
  <si>
    <t>12-0081-83</t>
  </si>
  <si>
    <t>CD8b</t>
  </si>
  <si>
    <t>eBioH35-17.2</t>
  </si>
  <si>
    <t>25-0083-82</t>
  </si>
  <si>
    <t>YTS156.7.7</t>
  </si>
  <si>
    <t>CD9</t>
  </si>
  <si>
    <t>APC Vio 770</t>
  </si>
  <si>
    <t>130-103-143</t>
  </si>
  <si>
    <t>AlexaFluor 700</t>
  </si>
  <si>
    <t>MZ3</t>
  </si>
  <si>
    <t>KMC8</t>
  </si>
  <si>
    <t>CD90</t>
  </si>
  <si>
    <t>CD90.1</t>
  </si>
  <si>
    <t>Thy1.1</t>
  </si>
  <si>
    <t>HOme-made</t>
  </si>
  <si>
    <t>cd90.2</t>
  </si>
  <si>
    <t>Maybe A488</t>
  </si>
  <si>
    <t>T24</t>
  </si>
  <si>
    <t>CD90.2</t>
  </si>
  <si>
    <t>53-2.1</t>
  </si>
  <si>
    <t>30-H12</t>
  </si>
  <si>
    <t>Cd90.2</t>
  </si>
  <si>
    <t>CD93</t>
  </si>
  <si>
    <t>493?</t>
  </si>
  <si>
    <t>CD94</t>
  </si>
  <si>
    <t>18d3</t>
  </si>
  <si>
    <t>11-0941-82</t>
  </si>
  <si>
    <t>Clone name</t>
  </si>
  <si>
    <t>5HIO68</t>
  </si>
  <si>
    <t>CX3CR1</t>
  </si>
  <si>
    <t>Alexa647</t>
  </si>
  <si>
    <t>SA011F11</t>
  </si>
  <si>
    <t>DAPI</t>
  </si>
  <si>
    <t>Delta4</t>
  </si>
  <si>
    <t>DL-4</t>
  </si>
  <si>
    <t>Dom1</t>
  </si>
  <si>
    <t xml:space="preserve">HOmemade </t>
  </si>
  <si>
    <t>DYKDDDDK</t>
  </si>
  <si>
    <t>Flag</t>
  </si>
  <si>
    <t>L5</t>
  </si>
  <si>
    <t>Ebf1</t>
  </si>
  <si>
    <t>T26-818</t>
  </si>
  <si>
    <t>EHF</t>
  </si>
  <si>
    <t>P8</t>
  </si>
  <si>
    <t>P2</t>
  </si>
  <si>
    <t>Empty tube</t>
  </si>
  <si>
    <t>Eomes</t>
  </si>
  <si>
    <t>Dan11mag</t>
  </si>
  <si>
    <t>12-4875-82</t>
  </si>
  <si>
    <t>W17001A</t>
  </si>
  <si>
    <t>ESAM</t>
  </si>
  <si>
    <t>1G8/ESAM</t>
  </si>
  <si>
    <t>F4/80</t>
  </si>
  <si>
    <t>BM8</t>
  </si>
  <si>
    <t>BM8?</t>
  </si>
  <si>
    <t>Bv421</t>
  </si>
  <si>
    <t>FasL</t>
  </si>
  <si>
    <t>FceR1a</t>
  </si>
  <si>
    <t>Fixable Dead</t>
  </si>
  <si>
    <t>eF506 and eFluor780 (APC-Cy7)</t>
  </si>
  <si>
    <t>Kit</t>
  </si>
  <si>
    <t>65-2860-40</t>
  </si>
  <si>
    <t>FoxP3</t>
  </si>
  <si>
    <t>FJK-16s</t>
  </si>
  <si>
    <t>150D</t>
  </si>
  <si>
    <t>Foxp3</t>
  </si>
  <si>
    <t>12-5773-82</t>
  </si>
  <si>
    <t>Gata3</t>
  </si>
  <si>
    <t>PE-efluor 610</t>
  </si>
  <si>
    <t>TWAJ</t>
  </si>
  <si>
    <t>Invitrogen</t>
  </si>
  <si>
    <t>61-9966-42</t>
  </si>
  <si>
    <t>16E10A23</t>
  </si>
  <si>
    <t>wrong clone, do not use</t>
  </si>
  <si>
    <t>403.A10</t>
  </si>
  <si>
    <t>Pan gd</t>
  </si>
  <si>
    <t>GFP</t>
  </si>
  <si>
    <t>A21311</t>
  </si>
  <si>
    <t>GL7</t>
  </si>
  <si>
    <t>GM-CSF</t>
  </si>
  <si>
    <t>MP1-22E9</t>
  </si>
  <si>
    <t>12-7331-82</t>
  </si>
  <si>
    <t>goat anti mouse</t>
  </si>
  <si>
    <t>Immunotools</t>
  </si>
  <si>
    <t>Goat anti-rat IgG</t>
  </si>
  <si>
    <t>red</t>
  </si>
  <si>
    <t>H+L</t>
  </si>
  <si>
    <t> transparent</t>
  </si>
  <si>
    <t>golgiPlus</t>
  </si>
  <si>
    <t>2301KZ</t>
  </si>
  <si>
    <t>GR-1</t>
  </si>
  <si>
    <t>Ly6G/C</t>
  </si>
  <si>
    <t>RB6-8C5</t>
  </si>
  <si>
    <t>Pac Blue</t>
  </si>
  <si>
    <t>H-2Db</t>
  </si>
  <si>
    <t>KH95</t>
  </si>
  <si>
    <t>H-2kb</t>
  </si>
  <si>
    <t>Y-3</t>
  </si>
  <si>
    <t>06102D</t>
  </si>
  <si>
    <t>H-2kd</t>
  </si>
  <si>
    <t>Fluos</t>
  </si>
  <si>
    <t>H-2Kk</t>
  </si>
  <si>
    <t>06055A</t>
  </si>
  <si>
    <t>06054D</t>
  </si>
  <si>
    <t>H57 (TCR-b)</t>
  </si>
  <si>
    <t>tcrb</t>
  </si>
  <si>
    <t>H57-597</t>
  </si>
  <si>
    <t>hBR</t>
  </si>
  <si>
    <t>Pierce - 9.1</t>
  </si>
  <si>
    <t>From Pierce</t>
  </si>
  <si>
    <t>huBR</t>
  </si>
  <si>
    <t>hCD2</t>
  </si>
  <si>
    <t>RPA-2.10</t>
  </si>
  <si>
    <t>APCfire</t>
  </si>
  <si>
    <t>TS1/8</t>
  </si>
  <si>
    <t>hCD4</t>
  </si>
  <si>
    <t>Helios</t>
  </si>
  <si>
    <t>huFc</t>
  </si>
  <si>
    <t>Huf5.4</t>
  </si>
  <si>
    <t>huIL-27</t>
  </si>
  <si>
    <t>human</t>
  </si>
  <si>
    <t>ebic6</t>
  </si>
  <si>
    <t>12-7358-41</t>
  </si>
  <si>
    <t>mouse anti-human</t>
  </si>
  <si>
    <t>Icam-1</t>
  </si>
  <si>
    <t>ICOS</t>
  </si>
  <si>
    <t>15P9</t>
  </si>
  <si>
    <t>Idiotype</t>
  </si>
  <si>
    <t>Ido</t>
  </si>
  <si>
    <t>mIDO-48</t>
  </si>
  <si>
    <t>IFNg</t>
  </si>
  <si>
    <t>XMG1.2</t>
  </si>
  <si>
    <t>eFuor 450</t>
  </si>
  <si>
    <t>48-7311-82</t>
  </si>
  <si>
    <t>12-7311-82</t>
  </si>
  <si>
    <t>Ig Lambda 1/2/3 Light Chain</t>
  </si>
  <si>
    <t>R26-46</t>
  </si>
  <si>
    <t>IgD</t>
  </si>
  <si>
    <t>DL649</t>
  </si>
  <si>
    <t>11-26c2a</t>
  </si>
  <si>
    <t>IgE</t>
  </si>
  <si>
    <t>02122D</t>
  </si>
  <si>
    <t>IgG</t>
  </si>
  <si>
    <t>Poly4053</t>
  </si>
  <si>
    <t>igg1 kappa isotype control</t>
  </si>
  <si>
    <t>IgK Light chain</t>
  </si>
  <si>
    <t>IgM</t>
  </si>
  <si>
    <t>RMM-1</t>
  </si>
  <si>
    <t>RPM</t>
  </si>
  <si>
    <t>M41?</t>
  </si>
  <si>
    <t xml:space="preserve">IgM </t>
  </si>
  <si>
    <t>ton</t>
  </si>
  <si>
    <t>IL-10</t>
  </si>
  <si>
    <t>Jes5-16E3</t>
  </si>
  <si>
    <t>IL-17</t>
  </si>
  <si>
    <t>tc11-18h10.1</t>
  </si>
  <si>
    <t>IL-17a</t>
  </si>
  <si>
    <t>IL-17A</t>
  </si>
  <si>
    <t>eFluor506</t>
  </si>
  <si>
    <t>il17a</t>
  </si>
  <si>
    <t>eBio17B7</t>
  </si>
  <si>
    <t>eBioscoemce</t>
  </si>
  <si>
    <t>69-7177-82</t>
  </si>
  <si>
    <t>53-7177-81</t>
  </si>
  <si>
    <t>IL-2</t>
  </si>
  <si>
    <t>IL2</t>
  </si>
  <si>
    <t>JES6-5H4</t>
  </si>
  <si>
    <t>12-7021-82</t>
  </si>
  <si>
    <t>IL-4</t>
  </si>
  <si>
    <t>11B11</t>
  </si>
  <si>
    <t>IL4</t>
  </si>
  <si>
    <t>IL12/IL23 p40</t>
  </si>
  <si>
    <t>Purified</t>
  </si>
  <si>
    <t>IL17a</t>
  </si>
  <si>
    <t>eFluor 506</t>
  </si>
  <si>
    <t>TC11-18H10.1</t>
  </si>
  <si>
    <t>11b11</t>
  </si>
  <si>
    <t>ebioscience</t>
  </si>
  <si>
    <t>25-7041-82</t>
  </si>
  <si>
    <t>IL5</t>
  </si>
  <si>
    <t>TRFK5</t>
  </si>
  <si>
    <t>12-7052-82</t>
  </si>
  <si>
    <t>INFg</t>
  </si>
  <si>
    <t>IRF4</t>
  </si>
  <si>
    <t>REA201</t>
  </si>
  <si>
    <t>130-100-915</t>
  </si>
  <si>
    <t>AlexaFluor 488</t>
  </si>
  <si>
    <t>IRF4.3E4</t>
  </si>
  <si>
    <t>Irf7</t>
  </si>
  <si>
    <t>12G9A36</t>
  </si>
  <si>
    <t>anti-human</t>
  </si>
  <si>
    <t>Irf8</t>
  </si>
  <si>
    <t>V3GYWCH</t>
  </si>
  <si>
    <t>17-9852-82</t>
  </si>
  <si>
    <t>46-9852-82</t>
  </si>
  <si>
    <t>Ki-67</t>
  </si>
  <si>
    <t>16A8</t>
  </si>
  <si>
    <t>Legendplex</t>
  </si>
  <si>
    <t>Th Cytokine</t>
  </si>
  <si>
    <t>Ly-49A</t>
  </si>
  <si>
    <t>09114D</t>
  </si>
  <si>
    <t>Ly-51</t>
  </si>
  <si>
    <t>6C3</t>
  </si>
  <si>
    <t>01282D</t>
  </si>
  <si>
    <t>Ly108</t>
  </si>
  <si>
    <t>330-AJ</t>
  </si>
  <si>
    <t>Ly49</t>
  </si>
  <si>
    <t>09115B</t>
  </si>
  <si>
    <t>Ly49A-B6</t>
  </si>
  <si>
    <t>A1</t>
  </si>
  <si>
    <t>Ly49C/I</t>
  </si>
  <si>
    <t>SW5E6</t>
  </si>
  <si>
    <t>01622A</t>
  </si>
  <si>
    <t>Ly49D</t>
  </si>
  <si>
    <t>Ly49l</t>
  </si>
  <si>
    <t>01625B</t>
  </si>
  <si>
    <t>Ly49Q</t>
  </si>
  <si>
    <t>MBL</t>
  </si>
  <si>
    <t>D-160-4</t>
  </si>
  <si>
    <t>very low</t>
  </si>
  <si>
    <t>Ly6C</t>
  </si>
  <si>
    <t>HK1.4</t>
  </si>
  <si>
    <t>AlexaFluor700</t>
  </si>
  <si>
    <t>17-5932-82</t>
  </si>
  <si>
    <t>Ly6D</t>
  </si>
  <si>
    <t>49-H4</t>
  </si>
  <si>
    <t>46-5974-80</t>
  </si>
  <si>
    <t>48-5974-80</t>
  </si>
  <si>
    <t>12-5974-80</t>
  </si>
  <si>
    <t>Ly6G</t>
  </si>
  <si>
    <t>1A8</t>
  </si>
  <si>
    <t>Ly73</t>
  </si>
  <si>
    <t>VEGF-R2 / FLk1</t>
  </si>
  <si>
    <t>MAC-2</t>
  </si>
  <si>
    <t>M3/38</t>
  </si>
  <si>
    <t>MB86</t>
  </si>
  <si>
    <t>mCherry RAT mAb</t>
  </si>
  <si>
    <t>16D7</t>
  </si>
  <si>
    <t>Life Technologies</t>
  </si>
  <si>
    <t>M11238</t>
  </si>
  <si>
    <t>MD-1</t>
  </si>
  <si>
    <t>MD113</t>
  </si>
  <si>
    <t>13-9931-82</t>
  </si>
  <si>
    <t>MertK</t>
  </si>
  <si>
    <t>2B10C42</t>
  </si>
  <si>
    <t>MHC Class II I-Ab</t>
  </si>
  <si>
    <t>AF6-120.1</t>
  </si>
  <si>
    <t>06044D</t>
  </si>
  <si>
    <t>25-9-17</t>
  </si>
  <si>
    <t>06254D</t>
  </si>
  <si>
    <t>MHCII</t>
  </si>
  <si>
    <t>M5/114.15.2</t>
  </si>
  <si>
    <t>SB645</t>
  </si>
  <si>
    <t>64-5321-82</t>
  </si>
  <si>
    <t>eVolve655</t>
  </si>
  <si>
    <t>86-5321-41</t>
  </si>
  <si>
    <t>BV 510</t>
  </si>
  <si>
    <t>I-A/I-E</t>
  </si>
  <si>
    <t>mTACI</t>
  </si>
  <si>
    <t>1A-10-8</t>
  </si>
  <si>
    <t>mTACI-1A1012</t>
  </si>
  <si>
    <t>Taci</t>
  </si>
  <si>
    <t>1A1012</t>
  </si>
  <si>
    <t>MUI?</t>
  </si>
  <si>
    <t>Nfil3</t>
  </si>
  <si>
    <t>E4BP4</t>
  </si>
  <si>
    <t>S2M-E19</t>
  </si>
  <si>
    <t>12-5927-82</t>
  </si>
  <si>
    <t>nGAL</t>
  </si>
  <si>
    <t>m0417a8</t>
  </si>
  <si>
    <t>NK cell Pan</t>
  </si>
  <si>
    <t>NK cells</t>
  </si>
  <si>
    <t>01705B</t>
  </si>
  <si>
    <t>NK1.1</t>
  </si>
  <si>
    <t>PK136</t>
  </si>
  <si>
    <t>48-5941-82</t>
  </si>
  <si>
    <t>NKG2D</t>
  </si>
  <si>
    <t>A10</t>
  </si>
  <si>
    <t>12-5872-82</t>
  </si>
  <si>
    <t>NKp46</t>
  </si>
  <si>
    <t>Notch-1</t>
  </si>
  <si>
    <t>Notch1</t>
  </si>
  <si>
    <t>HMN1-12</t>
  </si>
  <si>
    <t>NOtch-1</t>
  </si>
  <si>
    <t>MIltenyi</t>
  </si>
  <si>
    <t>130-101-868</t>
  </si>
  <si>
    <t>NP BSA</t>
  </si>
  <si>
    <t>only clone name</t>
  </si>
  <si>
    <t>Not protected from light. Not properly labelled</t>
  </si>
  <si>
    <t>5A12</t>
  </si>
  <si>
    <t>Only clone name</t>
  </si>
  <si>
    <t>7C7.1</t>
  </si>
  <si>
    <t>R5</t>
  </si>
  <si>
    <t>PR8</t>
  </si>
  <si>
    <t>pSTAT3</t>
  </si>
  <si>
    <t>LUVNKLA</t>
  </si>
  <si>
    <t>11-9033-42</t>
  </si>
  <si>
    <t>pSTAT6 (Y641)</t>
  </si>
  <si>
    <t>PerCP-eFluor® 710</t>
  </si>
  <si>
    <t>CHI2S4N</t>
  </si>
  <si>
    <t>46-9013-42</t>
  </si>
  <si>
    <t>pTCRa</t>
  </si>
  <si>
    <t>unlabeled</t>
  </si>
  <si>
    <t>pre TCR alpha</t>
  </si>
  <si>
    <t>2F5</t>
  </si>
  <si>
    <t>Pu.1</t>
  </si>
  <si>
    <t>7C6B05</t>
  </si>
  <si>
    <t>Biolenend</t>
  </si>
  <si>
    <t>RORγt</t>
  </si>
  <si>
    <t>Q31</t>
  </si>
  <si>
    <t>PE eFluor 610</t>
  </si>
  <si>
    <t>B2D</t>
  </si>
  <si>
    <t>61-6981-80</t>
  </si>
  <si>
    <t>RS3.1</t>
  </si>
  <si>
    <t>SAI2</t>
  </si>
  <si>
    <t>SAV</t>
  </si>
  <si>
    <t>PerCP</t>
  </si>
  <si>
    <t>Southern Biotech</t>
  </si>
  <si>
    <t>7100-09M</t>
  </si>
  <si>
    <t>Sca-1</t>
  </si>
  <si>
    <t>D7</t>
  </si>
  <si>
    <t xml:space="preserve">eBioscience </t>
  </si>
  <si>
    <t>25-5981-82</t>
  </si>
  <si>
    <t>Sca1</t>
  </si>
  <si>
    <t>Ly6A/E</t>
  </si>
  <si>
    <t>01832D</t>
  </si>
  <si>
    <t>12-5981-83</t>
  </si>
  <si>
    <t>shit according to fabi</t>
  </si>
  <si>
    <t>SiglecE</t>
  </si>
  <si>
    <t>M1304A01</t>
  </si>
  <si>
    <t>SiglecF</t>
  </si>
  <si>
    <t>eFluor660 (APC)</t>
  </si>
  <si>
    <t>50-1702-80</t>
  </si>
  <si>
    <t>130-102-274</t>
  </si>
  <si>
    <t>Aliquot</t>
  </si>
  <si>
    <t>S17007L</t>
  </si>
  <si>
    <t>SiglecH</t>
  </si>
  <si>
    <t>eBio440c</t>
  </si>
  <si>
    <t>17-1721-82</t>
  </si>
  <si>
    <t>12-0333-82</t>
  </si>
  <si>
    <t>No good separation (Patrick)</t>
  </si>
  <si>
    <t xml:space="preserve">SiglecH </t>
  </si>
  <si>
    <t>SL-156</t>
  </si>
  <si>
    <t>Stat5 (pY694)</t>
  </si>
  <si>
    <t>BD Phosflow</t>
  </si>
  <si>
    <t>T7tag</t>
  </si>
  <si>
    <t>Novagen</t>
  </si>
  <si>
    <t>PE-Vio615 (txRed)</t>
  </si>
  <si>
    <t>REA102</t>
  </si>
  <si>
    <t>130-107-611</t>
  </si>
  <si>
    <t>eBio4B10</t>
  </si>
  <si>
    <t>25-5825-82</t>
  </si>
  <si>
    <t>45-5825-82</t>
  </si>
  <si>
    <t>TCRb</t>
  </si>
  <si>
    <t>H57</t>
  </si>
  <si>
    <t>109246 </t>
  </si>
  <si>
    <t>TCRbeta</t>
  </si>
  <si>
    <t>TCRbeta TCRcb</t>
  </si>
  <si>
    <t>TCRg/d</t>
  </si>
  <si>
    <t>GL3</t>
  </si>
  <si>
    <t>TCRgd</t>
  </si>
  <si>
    <t>TCRgammaDelta</t>
  </si>
  <si>
    <t>TCrgd</t>
  </si>
  <si>
    <t>TCRyd</t>
  </si>
  <si>
    <t>PerCP-Vio700</t>
  </si>
  <si>
    <t>REA633</t>
  </si>
  <si>
    <t>130-117-665</t>
  </si>
  <si>
    <t>130-117-777</t>
  </si>
  <si>
    <t>TdT</t>
  </si>
  <si>
    <t xml:space="preserve">Miltenyi </t>
  </si>
  <si>
    <t>130-100-696</t>
  </si>
  <si>
    <t>Tdt</t>
  </si>
  <si>
    <t>130-100-746</t>
  </si>
  <si>
    <t>Ter119</t>
  </si>
  <si>
    <t>TER-119</t>
  </si>
  <si>
    <t>TGFb</t>
  </si>
  <si>
    <t>tgfbeta</t>
  </si>
  <si>
    <t>Tim-1</t>
  </si>
  <si>
    <t>Tim-4</t>
  </si>
  <si>
    <t>RMT4-54</t>
  </si>
  <si>
    <t>TLR4</t>
  </si>
  <si>
    <t>MTS510</t>
  </si>
  <si>
    <t>13-9924-82</t>
  </si>
  <si>
    <t>TNFa</t>
  </si>
  <si>
    <t>MP6-XT22</t>
  </si>
  <si>
    <t>12-7423-82</t>
  </si>
  <si>
    <t>TROMA.1</t>
  </si>
  <si>
    <t>rat igak8</t>
  </si>
  <si>
    <t>homemade</t>
  </si>
  <si>
    <t>Unlabelled</t>
  </si>
  <si>
    <t>Possibly PI3 kinase type 3</t>
  </si>
  <si>
    <t>17D1</t>
  </si>
  <si>
    <t>3A10</t>
  </si>
  <si>
    <t>Va2</t>
  </si>
  <si>
    <t>Valpha2</t>
  </si>
  <si>
    <t>B20.1</t>
  </si>
  <si>
    <t>Valpha 11.1</t>
  </si>
  <si>
    <t>Va11.1</t>
  </si>
  <si>
    <t>Valpha 8.3</t>
  </si>
  <si>
    <t>Va8.3</t>
  </si>
  <si>
    <t>Vb10</t>
  </si>
  <si>
    <t>B21.5</t>
  </si>
  <si>
    <t>Vb11</t>
  </si>
  <si>
    <t>Vbeta11 TCR</t>
  </si>
  <si>
    <t>RR3-15</t>
  </si>
  <si>
    <t>01374C</t>
  </si>
  <si>
    <t>Vb12</t>
  </si>
  <si>
    <t>MR11-1</t>
  </si>
  <si>
    <t>Vb13</t>
  </si>
  <si>
    <t>APc</t>
  </si>
  <si>
    <t>MR12-3</t>
  </si>
  <si>
    <t>Vb17</t>
  </si>
  <si>
    <t>Vbeta17</t>
  </si>
  <si>
    <t>Vb3</t>
  </si>
  <si>
    <t>Vb4</t>
  </si>
  <si>
    <t>Vbeta4</t>
  </si>
  <si>
    <t>Vb5</t>
  </si>
  <si>
    <t>Vbeta5</t>
  </si>
  <si>
    <t>house-made</t>
  </si>
  <si>
    <t>Vb5.1,2</t>
  </si>
  <si>
    <t>MR9-4</t>
  </si>
  <si>
    <t>Vb6</t>
  </si>
  <si>
    <t>Vbeta6</t>
  </si>
  <si>
    <t>Vb7</t>
  </si>
  <si>
    <t>Vbeta7</t>
  </si>
  <si>
    <t>Vb8.1 Vb8.2</t>
  </si>
  <si>
    <t>01345A</t>
  </si>
  <si>
    <t>1B3.8</t>
  </si>
  <si>
    <t>Vb8.1,2</t>
  </si>
  <si>
    <t>Vbeta8.1,2</t>
  </si>
  <si>
    <t>Vb9</t>
  </si>
  <si>
    <t>Vbeta9</t>
  </si>
  <si>
    <t>Vg1 + Vg2</t>
  </si>
  <si>
    <t>4B2.9</t>
  </si>
  <si>
    <t>Vg1 TCR</t>
  </si>
  <si>
    <t>BV786</t>
  </si>
  <si>
    <t>Vg2 TCR</t>
  </si>
  <si>
    <t>UC3-10A6</t>
  </si>
  <si>
    <t>Vg3 TCR</t>
  </si>
  <si>
    <t>F536</t>
  </si>
  <si>
    <t>Vg4</t>
  </si>
  <si>
    <t>GL2</t>
  </si>
  <si>
    <t>Vg5 TCR</t>
  </si>
  <si>
    <t>F45.152</t>
  </si>
  <si>
    <t>Vg6 TCR</t>
  </si>
  <si>
    <t>1C10-1F7</t>
  </si>
  <si>
    <t>Japan MTA</t>
  </si>
  <si>
    <t>F21.9D3</t>
  </si>
  <si>
    <t>Vg6B TCR</t>
  </si>
  <si>
    <t>F4.22</t>
  </si>
  <si>
    <t>Vg7 TCR</t>
  </si>
  <si>
    <t>F2.67</t>
  </si>
  <si>
    <t>XCR1</t>
  </si>
  <si>
    <t>ZET</t>
  </si>
  <si>
    <t>Y-3 H-2kb</t>
  </si>
  <si>
    <t>Axl</t>
  </si>
  <si>
    <t>R&amp;D Systems</t>
  </si>
  <si>
    <t>BUV661</t>
  </si>
  <si>
    <t>CD161</t>
  </si>
  <si>
    <t>BUV563</t>
  </si>
  <si>
    <t>CD279</t>
  </si>
  <si>
    <t>PD-1</t>
  </si>
  <si>
    <t>BUV805</t>
  </si>
  <si>
    <t>CD95</t>
  </si>
  <si>
    <t>Fas</t>
  </si>
  <si>
    <t>HLA-DR</t>
  </si>
  <si>
    <t>L243</t>
  </si>
  <si>
    <t>BV480</t>
  </si>
  <si>
    <t>Streptavidin</t>
  </si>
  <si>
    <t>L3T4</t>
  </si>
  <si>
    <t>1/300</t>
  </si>
  <si>
    <t>1/1000</t>
  </si>
  <si>
    <t>1/400</t>
  </si>
  <si>
    <t>1/500</t>
  </si>
  <si>
    <t>1/200</t>
  </si>
  <si>
    <t>1/100</t>
  </si>
  <si>
    <t>1/2000</t>
  </si>
  <si>
    <t>1/1600</t>
  </si>
  <si>
    <t>very good</t>
  </si>
  <si>
    <t>12-1031-82</t>
  </si>
  <si>
    <t>beautiful</t>
  </si>
  <si>
    <t>Best</t>
  </si>
  <si>
    <t>1/4000</t>
  </si>
  <si>
    <t>1/8000</t>
  </si>
  <si>
    <t>1/600</t>
  </si>
  <si>
    <t>can go lower</t>
  </si>
  <si>
    <t>1/10</t>
  </si>
  <si>
    <t>Pure</t>
  </si>
  <si>
    <t>130-101-966</t>
  </si>
  <si>
    <t>130-106-208</t>
  </si>
  <si>
    <t>bottle</t>
  </si>
  <si>
    <t>CD16</t>
  </si>
  <si>
    <t>Application</t>
  </si>
  <si>
    <t>FC</t>
  </si>
  <si>
    <t>FC, IHC-F</t>
  </si>
  <si>
    <t>Blimp-1</t>
  </si>
  <si>
    <t>Rat IgG2a,k</t>
  </si>
  <si>
    <t>5E7</t>
  </si>
  <si>
    <t>Spark YG570</t>
  </si>
  <si>
    <t>IHC-F</t>
  </si>
  <si>
    <t>Rat IgG2a, k</t>
  </si>
  <si>
    <t>Goat Polyclonal IgG</t>
  </si>
  <si>
    <t>FC, iHC-F</t>
  </si>
  <si>
    <t>1/400 (IHC-F)</t>
  </si>
  <si>
    <t>MAb-CC1</t>
  </si>
  <si>
    <t>Mouse IgG1, κ</t>
  </si>
  <si>
    <t>anti-mouse</t>
  </si>
  <si>
    <t>CEACAM1a</t>
  </si>
  <si>
    <t>LPS receptor</t>
  </si>
  <si>
    <t>Rat IgG2a, κ</t>
  </si>
  <si>
    <t>Reactivity</t>
  </si>
  <si>
    <t>Ly77</t>
  </si>
  <si>
    <t>anti-mouse/human</t>
  </si>
  <si>
    <t>Rat IgM, κ</t>
  </si>
  <si>
    <t>SIRPα</t>
  </si>
  <si>
    <t>Rat IgG1, κ</t>
  </si>
  <si>
    <t>c-Kit</t>
  </si>
  <si>
    <t>Rat IgG2b, κ</t>
  </si>
  <si>
    <t>CD32</t>
  </si>
  <si>
    <t>Fcgr2</t>
  </si>
  <si>
    <t>S17012B</t>
  </si>
  <si>
    <t>CD301a</t>
  </si>
  <si>
    <t>Mgl1</t>
  </si>
  <si>
    <t>LOM-8.7</t>
  </si>
  <si>
    <t>Lymphocyte antigen 6 complex</t>
  </si>
  <si>
    <t>DNAM-1</t>
  </si>
  <si>
    <t>Fcγ R III/II</t>
  </si>
  <si>
    <t>Rat IgG2a, λ</t>
  </si>
  <si>
    <t>True-Stain Monocyte Blocker</t>
  </si>
  <si>
    <t>Cyanine dye blocking solution</t>
  </si>
  <si>
    <t>IHC-F, 3D-IHC</t>
  </si>
  <si>
    <t>Fractalkine receptor</t>
  </si>
  <si>
    <t>Mouse IgG2a, κ</t>
  </si>
  <si>
    <t>αM integrin</t>
  </si>
  <si>
    <t>ICC, IHC-F, IHC-P</t>
  </si>
  <si>
    <t>Flow Cytometry</t>
  </si>
  <si>
    <t>ICC</t>
  </si>
  <si>
    <t>Immunocytochemistry</t>
  </si>
  <si>
    <t>IHC</t>
  </si>
  <si>
    <t>Immunohistochemistry</t>
  </si>
  <si>
    <t>3D IHC</t>
  </si>
  <si>
    <t>3D Immunohistochemistry</t>
  </si>
  <si>
    <t>Immunohistochemistry - Frozen</t>
  </si>
  <si>
    <t>IHC-P</t>
  </si>
  <si>
    <t>Immunohistochemistry - Paraffin</t>
  </si>
  <si>
    <t>Zombie UV™ Fixable Viability Kit</t>
  </si>
  <si>
    <t>Zombie Aqua™ Fixable Viability Kit</t>
  </si>
  <si>
    <t>BUV737</t>
  </si>
  <si>
    <t>1G8</t>
  </si>
  <si>
    <t>Lewis IgG2a, κ</t>
  </si>
  <si>
    <t>1G8 Antigen</t>
  </si>
  <si>
    <t>440c</t>
  </si>
  <si>
    <t>Probably also human, just not stated</t>
  </si>
  <si>
    <t>Mouse C3H x BALB/c IgG2a, κ</t>
  </si>
  <si>
    <t>Don't use beads for comp</t>
  </si>
  <si>
    <t>CD2</t>
  </si>
  <si>
    <t>RM2-5</t>
  </si>
  <si>
    <t>LFA-2</t>
  </si>
  <si>
    <t>Rat SD IgG2b, λ</t>
  </si>
  <si>
    <t>Rat SD, also known as Sprague-Dawley (outbred) IgG2b, λ</t>
  </si>
  <si>
    <t>BUV615</t>
  </si>
  <si>
    <t xml:space="preserve">1000 dil </t>
  </si>
  <si>
    <t>PECAM-1</t>
  </si>
  <si>
    <t>The one in main is a previous clone!!!!</t>
  </si>
  <si>
    <t>Ultra-LEAF Purified</t>
  </si>
  <si>
    <t>Fibrinogen receptor</t>
  </si>
  <si>
    <t>FC, FA</t>
  </si>
  <si>
    <t>FA</t>
  </si>
  <si>
    <t>Functional Assay</t>
  </si>
  <si>
    <t>Fcγ R III/II, Ly-17</t>
  </si>
  <si>
    <t>FC, IP, Block</t>
  </si>
  <si>
    <t>Block</t>
  </si>
  <si>
    <t>Blocking biological response</t>
  </si>
  <si>
    <t>IP</t>
  </si>
  <si>
    <t>Immunoprecipitation</t>
  </si>
  <si>
    <r>
      <t xml:space="preserve">Dilution </t>
    </r>
    <r>
      <rPr>
        <b/>
        <sz val="12"/>
        <color rgb="FFFF0000"/>
        <rFont val="Calibri (Body)"/>
      </rPr>
      <t>(ug/ml)</t>
    </r>
  </si>
  <si>
    <t>Podocalyxin</t>
  </si>
  <si>
    <t>Polyclonal Goat IgG</t>
  </si>
  <si>
    <t>AF1556</t>
  </si>
  <si>
    <t>Polyclonal</t>
  </si>
  <si>
    <t xml:space="preserve">	Polyclonal Goat IgG</t>
  </si>
  <si>
    <t>WB, IHC, FC, CyTOF</t>
  </si>
  <si>
    <t>WB</t>
  </si>
  <si>
    <t>Western Blot</t>
  </si>
  <si>
    <t>Complement C3</t>
  </si>
  <si>
    <t>BS-2934R</t>
  </si>
  <si>
    <t>Thermo Fisher</t>
  </si>
  <si>
    <t>anti-bovine/human/mouse/rat</t>
  </si>
  <si>
    <t>Rabbit / IgG</t>
  </si>
  <si>
    <t>stored at -20</t>
  </si>
  <si>
    <t>BS-7653R</t>
  </si>
  <si>
    <t>anti-human/mouse/rat</t>
  </si>
  <si>
    <t>DNase1l3</t>
  </si>
  <si>
    <t>DNase gamma</t>
  </si>
  <si>
    <t>CD3 Molecular Complex</t>
  </si>
  <si>
    <t>FC, IF</t>
  </si>
  <si>
    <t>IF</t>
  </si>
  <si>
    <t>Immunofluorescence</t>
  </si>
  <si>
    <t>Rat SD  IgG2b, κ</t>
  </si>
  <si>
    <t>Rat SD, also known as Sprague-Dawley (outbred) IgG2b, κ</t>
  </si>
  <si>
    <t>T3</t>
  </si>
  <si>
    <t>Armenian Hamster IgG1, κ</t>
  </si>
  <si>
    <t>Ly-5.2</t>
  </si>
  <si>
    <t>Mouse SJL IgG2a, κ</t>
  </si>
  <si>
    <t>Mouse (SJL) IgG2a, κ</t>
  </si>
  <si>
    <t>Use more than 1:400 of 0.2mg/ml stock</t>
  </si>
  <si>
    <t>IgG (H+L)</t>
  </si>
  <si>
    <t>Donkey whole IgG</t>
  </si>
  <si>
    <t>Jackson ImmunoResearch</t>
  </si>
  <si>
    <t>715-605-151</t>
  </si>
  <si>
    <t>IgG, Fcγ fragment specific</t>
  </si>
  <si>
    <t>Sheep whole IgG</t>
  </si>
  <si>
    <t>515-605-071</t>
  </si>
  <si>
    <t>min X Bov, Ck, Gt, GP, Sy Hms, Hrs, Hu, Rb, Rat, Shp Sr Prot</t>
  </si>
  <si>
    <t>anti-goat</t>
  </si>
  <si>
    <t>Bovine whole IgG</t>
  </si>
  <si>
    <t>805-585-180</t>
  </si>
  <si>
    <t>min X Bov, Ck, GP, Sy Hms, Hrs, Hu, Ms, Rb, Rat Sr Prot</t>
  </si>
  <si>
    <t>min X Hu, Bov, Hrs Sr Prot</t>
  </si>
  <si>
    <t>805-545-180</t>
  </si>
  <si>
    <t>Cy3</t>
  </si>
  <si>
    <t>anti-rabbit</t>
  </si>
  <si>
    <t>711-165-152</t>
  </si>
  <si>
    <t>min X Bov, Ck, Gt, GP, Sy Hms, Hrs, Hu, Ms, Rat, Shp Sr Prot</t>
  </si>
  <si>
    <t>IHC-F, ELISA, WB</t>
  </si>
  <si>
    <t>ELISA</t>
  </si>
  <si>
    <t>WB, IHC-P, IHC-F, ELISA</t>
  </si>
  <si>
    <t>WB, IHC-P, IHC-F, ICC, ELISA</t>
  </si>
  <si>
    <t>1/400 of 0.5mg/ml (IHC-F)</t>
  </si>
  <si>
    <t>1/500 of 0.5mg/ml (IHC-F)</t>
  </si>
  <si>
    <t>VCAM-1</t>
  </si>
  <si>
    <t>FC, IHC-F, 3-D IHC</t>
  </si>
  <si>
    <t>FC, IHC, ICC</t>
  </si>
  <si>
    <t>αX integrin</t>
  </si>
  <si>
    <t>FC, CyTOF, IP, IHC</t>
  </si>
  <si>
    <t>CyTOF</t>
  </si>
  <si>
    <t>FC, ICC, IHC-F, IHC-P</t>
  </si>
  <si>
    <t>DyLight649</t>
  </si>
  <si>
    <t>DyLight488</t>
  </si>
  <si>
    <t>Ly-5</t>
  </si>
  <si>
    <t>FC, IHC-F, CyTOF, IP, CMCD, IHC, WB</t>
  </si>
  <si>
    <t>CMCD</t>
  </si>
  <si>
    <t>Complement Mediated Cell Depletion</t>
  </si>
  <si>
    <t>Legend</t>
  </si>
  <si>
    <t>127-605-160</t>
  </si>
  <si>
    <t>min X Bov, Hu, Ms, Rb, Rat Sr Prot</t>
  </si>
  <si>
    <t>anti-armeniam hamster</t>
  </si>
  <si>
    <t>Goat whole IgG</t>
  </si>
  <si>
    <t xml:space="preserve">	127-585-160</t>
  </si>
  <si>
    <t>goat anti-mouse IgG</t>
  </si>
  <si>
    <t>donkey anti mouse IgG</t>
  </si>
  <si>
    <t>sheep anti-mouse IgG</t>
  </si>
  <si>
    <t>bovine anti-goat IgG</t>
  </si>
  <si>
    <t>donkey anti-rabbit IgG</t>
  </si>
  <si>
    <t>712-165-153</t>
  </si>
  <si>
    <t>min X Bov, Ck, Gt, GP, Sy Hms, Hrs, Hu, Ms, Rb, Shp Sr Prot</t>
  </si>
  <si>
    <t>goat anti-armenian hamster IgG</t>
  </si>
  <si>
    <t>donkey anti-rat</t>
  </si>
  <si>
    <t>CD178</t>
  </si>
  <si>
    <t>FasL, CD95L</t>
  </si>
  <si>
    <t>MFL3</t>
  </si>
  <si>
    <t>FC, Block, Apop, ICC</t>
  </si>
  <si>
    <t>FC, Block, IHC-F, IP</t>
  </si>
  <si>
    <t>Apotracker Green</t>
  </si>
  <si>
    <t>Human, Mouse, Rat, All Species</t>
  </si>
  <si>
    <t>FITC/AF488</t>
  </si>
  <si>
    <t>Ex: 500nm Em: 520, BP: 530/30</t>
  </si>
  <si>
    <t>FC, LCI</t>
  </si>
  <si>
    <t>LCI</t>
  </si>
  <si>
    <t>Live Cell Imaging</t>
  </si>
  <si>
    <t>Mirus</t>
  </si>
  <si>
    <t>MIR 7025</t>
  </si>
  <si>
    <t>DNA (plasmid) Label IT Tracker</t>
  </si>
  <si>
    <t>Test for FC and Microscopy</t>
  </si>
  <si>
    <t>SA362F7</t>
  </si>
  <si>
    <t xml:space="preserve">BD Pharmingen </t>
  </si>
  <si>
    <t xml:space="preserve">Rat (LEW) IgG2a, k </t>
  </si>
  <si>
    <t>Ly-2</t>
  </si>
  <si>
    <t>Notch-3</t>
  </si>
  <si>
    <t>HMN3-133</t>
  </si>
  <si>
    <t>Notch3</t>
  </si>
  <si>
    <t>Z25609</t>
  </si>
  <si>
    <t>Zenon pHrodo iFL Green</t>
  </si>
  <si>
    <t>Avidin</t>
  </si>
  <si>
    <t>pHrodo Red</t>
  </si>
  <si>
    <t>P35362</t>
  </si>
  <si>
    <t>IHC, ICC</t>
  </si>
  <si>
    <t xml:space="preserve">In backup big bottle box </t>
  </si>
  <si>
    <t>Store protected from light</t>
  </si>
  <si>
    <t>Mouse IgG1</t>
  </si>
  <si>
    <t>BrdU Chemical</t>
  </si>
  <si>
    <t>Stored at -80</t>
  </si>
  <si>
    <t>PEFire700</t>
  </si>
  <si>
    <t>CITE-Seq</t>
  </si>
  <si>
    <t>Rat IgG2c, κ</t>
  </si>
  <si>
    <t>anti-mouse/rat</t>
  </si>
  <si>
    <t>Mouse IgG2b, κ</t>
  </si>
  <si>
    <t>CSF-1R</t>
  </si>
  <si>
    <t>L50-823</t>
  </si>
  <si>
    <t>KLRG1</t>
  </si>
  <si>
    <t>2F1/KLRG1</t>
  </si>
  <si>
    <t>IL33R</t>
  </si>
  <si>
    <t>RMST2-2</t>
  </si>
  <si>
    <t>13-9335-82</t>
  </si>
  <si>
    <t>IL33Ra</t>
  </si>
  <si>
    <t>DIH9</t>
  </si>
  <si>
    <t>AFKJS9</t>
  </si>
  <si>
    <t>12-6988-82</t>
  </si>
  <si>
    <t>CD126</t>
  </si>
  <si>
    <t>D7715A7</t>
  </si>
  <si>
    <t>BD Biosciences</t>
  </si>
  <si>
    <t>IL6Ra</t>
  </si>
  <si>
    <t>FC, ICC, IHC, 3D IHC</t>
  </si>
  <si>
    <t xml:space="preserve">OKT4 </t>
  </si>
  <si>
    <t>FC/LiveImaging</t>
  </si>
  <si>
    <t>Thy-1.2</t>
  </si>
  <si>
    <t>Mouse (A.SW) IgG2a, κ</t>
  </si>
  <si>
    <t>T200, Ly-5.1, LCA</t>
  </si>
  <si>
    <t>TCR-β chain</t>
  </si>
  <si>
    <t>IL-7Rα</t>
  </si>
  <si>
    <t>SB/199</t>
  </si>
  <si>
    <t>Rat LOU, also known as Louvain, LOU/C, LOU/M IgG2a, κ</t>
  </si>
  <si>
    <t>Rat DA, also known as DA/HA IgG2a, κ</t>
  </si>
  <si>
    <t>CD287</t>
  </si>
  <si>
    <t>A94B10</t>
  </si>
  <si>
    <t>TLR7</t>
  </si>
  <si>
    <t>AA4.1</t>
  </si>
  <si>
    <t>C1qRp</t>
  </si>
  <si>
    <t>7D1</t>
  </si>
  <si>
    <t>Human, Mouse</t>
  </si>
  <si>
    <t>BCL5, LAZ3, BCL6A, ZNF51,ZBTB27</t>
  </si>
  <si>
    <t>29F.1A12</t>
  </si>
  <si>
    <t>SAv-Brilliant violet 711</t>
  </si>
  <si>
    <t>goat polyclonal IgG</t>
  </si>
  <si>
    <t>IgG2b</t>
  </si>
  <si>
    <t>Immunoglobulin G2b</t>
  </si>
  <si>
    <t>RMG2b-1</t>
  </si>
  <si>
    <t>Rat IgG1, k</t>
  </si>
  <si>
    <t>BLR1, GPCR6, MDR-15</t>
  </si>
  <si>
    <t>CD278</t>
  </si>
  <si>
    <t>H4</t>
  </si>
  <si>
    <t>7E.17G9</t>
  </si>
  <si>
    <t>Very good</t>
  </si>
  <si>
    <t>Weak</t>
  </si>
  <si>
    <t>Beautiful</t>
  </si>
  <si>
    <t>Does not work intracellular</t>
  </si>
  <si>
    <t>1/400?</t>
  </si>
  <si>
    <t>Discontinued by eBioscience as of 2021 08 30. (too strong)</t>
  </si>
  <si>
    <t>shit antibody</t>
  </si>
  <si>
    <t>ASK for a sample?</t>
  </si>
  <si>
    <t>Syndecan-1</t>
  </si>
  <si>
    <t>Hamster anti-mouse</t>
  </si>
  <si>
    <t>B355208</t>
  </si>
  <si>
    <t>QA19A49</t>
  </si>
  <si>
    <t>REPLACED by APC-Fire750</t>
  </si>
  <si>
    <t>New reference number with new badge</t>
  </si>
  <si>
    <t>1C10</t>
  </si>
  <si>
    <t>FM2646</t>
  </si>
  <si>
    <t>XF</t>
  </si>
  <si>
    <t>rat anti-mouse</t>
  </si>
  <si>
    <t>IgG2a</t>
  </si>
  <si>
    <t>Immunoglobulin G2a</t>
  </si>
  <si>
    <t>RMG2a-62</t>
  </si>
  <si>
    <t>Rat IgG</t>
  </si>
  <si>
    <t>IgG1</t>
  </si>
  <si>
    <t>RMG1-1</t>
  </si>
  <si>
    <t>22F6</t>
  </si>
  <si>
    <t>DPP-4</t>
  </si>
  <si>
    <t>IgA</t>
  </si>
  <si>
    <t>RMA-1</t>
  </si>
  <si>
    <t>Rat IgG1,k</t>
  </si>
  <si>
    <t>IgG3</t>
  </si>
  <si>
    <t>RMG3-1</t>
  </si>
  <si>
    <t>S17014E</t>
  </si>
  <si>
    <t>Rat IgG2b, k</t>
  </si>
  <si>
    <t>749027, 568287</t>
  </si>
  <si>
    <t>O4-46</t>
  </si>
  <si>
    <t xml:space="preserve">BD </t>
  </si>
  <si>
    <t>MHC II</t>
  </si>
  <si>
    <t>BUV427</t>
  </si>
  <si>
    <t>anti-mouse/rat/human</t>
  </si>
  <si>
    <t>M1/42</t>
  </si>
  <si>
    <t>H1.2F3 </t>
  </si>
  <si>
    <t>11-26c.2a</t>
  </si>
  <si>
    <t>In backup plastic box</t>
  </si>
  <si>
    <t>PEFire810</t>
  </si>
  <si>
    <t>TAPA-1</t>
  </si>
  <si>
    <t>Eat-2</t>
  </si>
  <si>
    <t>PECy7</t>
  </si>
  <si>
    <t>PEFire640</t>
  </si>
  <si>
    <t>Spark NIR685</t>
  </si>
  <si>
    <t>Bcl-6</t>
  </si>
  <si>
    <t>Bcl-2</t>
  </si>
  <si>
    <t>25-5773-82</t>
  </si>
  <si>
    <t>Bv786</t>
  </si>
  <si>
    <t>T-bet</t>
  </si>
  <si>
    <t>MAXL8DS</t>
  </si>
  <si>
    <t>25-1084-80</t>
  </si>
  <si>
    <t>Tyro7; Ufo</t>
  </si>
  <si>
    <t>Mouse</t>
  </si>
  <si>
    <t>Rat / IgG2a, kappa</t>
  </si>
  <si>
    <t>17-1084-80</t>
  </si>
  <si>
    <t>53-1084-82</t>
  </si>
  <si>
    <t>GATA3</t>
  </si>
  <si>
    <t>CD284</t>
  </si>
  <si>
    <t>isotype</t>
  </si>
  <si>
    <t>RTK2758</t>
  </si>
  <si>
    <t>CD29</t>
  </si>
  <si>
    <t>HMB1-1</t>
  </si>
  <si>
    <t>Zbtb20</t>
  </si>
  <si>
    <t>4A3</t>
  </si>
  <si>
    <t>1?</t>
  </si>
  <si>
    <t>SA367H8</t>
  </si>
  <si>
    <t>CD274</t>
  </si>
  <si>
    <t>MIH5</t>
  </si>
  <si>
    <t>PD-L1</t>
  </si>
  <si>
    <t>1/100 of 0.5mg/ml (IHC-F)</t>
  </si>
  <si>
    <t>eBio17B8</t>
  </si>
  <si>
    <t>376-7177-82</t>
  </si>
  <si>
    <t>Rat IgG1, λ</t>
  </si>
  <si>
    <t>1/1000 at least test more dil.</t>
  </si>
  <si>
    <t xml:space="preserve">very good can probaly go lower </t>
  </si>
  <si>
    <t>good resolution of Hi and int</t>
  </si>
  <si>
    <t>week interferes with 605</t>
  </si>
  <si>
    <t>17-7041-82</t>
  </si>
  <si>
    <t>Vg1+2 TONEGAWA</t>
  </si>
  <si>
    <t>Vg1 TONEGAWA</t>
  </si>
  <si>
    <t>Vg4 TONEGAWA</t>
  </si>
  <si>
    <t>Vg7 TONEGAWA</t>
  </si>
  <si>
    <t>Vg6 TONEGAWA</t>
  </si>
  <si>
    <t>Tube says Vd5-check!</t>
  </si>
  <si>
    <t>Tube says Vd5-FITC-check!!</t>
  </si>
  <si>
    <t>Check the antibody</t>
  </si>
  <si>
    <t>need to titrate!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</si>
</sst>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  <font>
      <sz val="12"/>
      <name val="Calibri"/>
      <family val="2"/>
      <scheme val="minor"/>
    </font>
    <font>
      <sz val="12"/>
      <color rgb="FF000000"/>
      <name val="Helvetica"/>
      <family val="2"/>
    </font>
    <font>
      <sz val="11"/>
      <name val="Verdana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  <charset val="238"/>
    </font>
    <font>
      <u/>
      <sz val="12"/>
      <color theme="10"/>
      <name val="Calibri"/>
      <family val="2"/>
      <scheme val="minor"/>
    </font>
    <font>
      <b/>
      <sz val="10"/>
      <color rgb="FF333333"/>
      <name val="Lato"/>
      <family val="2"/>
      <charset val="1"/>
    </font>
    <font>
      <b/>
      <sz val="13.5"/>
      <name val="Calibri"/>
      <family val="2"/>
    </font>
    <font>
      <sz val="8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FF0000"/>
      <name val="Calibri (Body)"/>
    </font>
    <font>
      <b/>
      <sz val="12"/>
      <color rgb="FFFF0000"/>
      <name val="Calibri (Body)"/>
    </font>
    <font>
      <sz val="12"/>
      <color theme="8"/>
      <name val="Calibri"/>
      <family val="2"/>
    </font>
    <font>
      <sz val="12"/>
      <color theme="7"/>
      <name val="Calibri (Body)"/>
    </font>
    <font>
      <sz val="12"/>
      <color rgb="FF0070C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65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49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9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9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1" fontId="13" fillId="8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3" fillId="12" borderId="0" xfId="0" applyFont="1" applyFill="1" applyAlignment="1">
      <alignment horizontal="center"/>
    </xf>
    <xf numFmtId="0" fontId="13" fillId="11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14" fillId="11" borderId="0" xfId="0" applyFont="1" applyFill="1" applyAlignment="1">
      <alignment horizontal="center"/>
    </xf>
    <xf numFmtId="0" fontId="13" fillId="11" borderId="0" xfId="0" applyFont="1" applyFill="1" applyAlignment="1">
      <alignment horizontal="center" wrapText="1"/>
    </xf>
    <xf numFmtId="0" fontId="13" fillId="13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8" fillId="14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16" fillId="13" borderId="0" xfId="0" applyFont="1" applyFill="1" applyAlignment="1">
      <alignment horizontal="center"/>
    </xf>
    <xf numFmtId="0" fontId="13" fillId="14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4" fillId="3" borderId="0" xfId="0" applyFont="1" applyFill="1" applyAlignment="1">
      <alignment horizontal="center"/>
    </xf>
    <xf numFmtId="0" fontId="13" fillId="15" borderId="0" xfId="0" applyFont="1" applyFill="1" applyAlignment="1">
      <alignment horizontal="center"/>
    </xf>
    <xf numFmtId="0" fontId="13" fillId="16" borderId="0" xfId="0" applyFont="1" applyFill="1" applyAlignment="1">
      <alignment horizontal="center"/>
    </xf>
    <xf numFmtId="49" fontId="0" fillId="14" borderId="0" xfId="0" applyNumberForma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8" fillId="12" borderId="0" xfId="0" applyFont="1" applyFill="1" applyAlignment="1">
      <alignment horizontal="center"/>
    </xf>
    <xf numFmtId="0" fontId="4" fillId="2" borderId="0" xfId="245" applyFont="1" applyFill="1" applyBorder="1" applyAlignment="1">
      <alignment horizontal="center"/>
    </xf>
    <xf numFmtId="0" fontId="4" fillId="12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49" fontId="0" fillId="12" borderId="0" xfId="0" applyNumberFormat="1" applyFill="1" applyAlignment="1">
      <alignment horizontal="center"/>
    </xf>
    <xf numFmtId="11" fontId="0" fillId="2" borderId="0" xfId="0" quotePrefix="1" applyNumberForma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0" fillId="12" borderId="0" xfId="0" applyFill="1" applyAlignment="1">
      <alignment horizontal="center" vertical="center" wrapText="1"/>
    </xf>
    <xf numFmtId="0" fontId="17" fillId="2" borderId="0" xfId="245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top" wrapText="1"/>
    </xf>
    <xf numFmtId="16" fontId="14" fillId="8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center"/>
    </xf>
    <xf numFmtId="0" fontId="12" fillId="3" borderId="0" xfId="0" applyFont="1" applyFill="1" applyAlignment="1">
      <alignment horizontal="center" wrapText="1"/>
    </xf>
    <xf numFmtId="0" fontId="12" fillId="15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7" fillId="0" borderId="0" xfId="0" applyFont="1" applyAlignment="1">
      <alignment shrinkToFit="1"/>
    </xf>
    <xf numFmtId="0" fontId="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9" fillId="4" borderId="0" xfId="0" applyFont="1" applyFill="1" applyAlignment="1">
      <alignment horizontal="center" vertical="center"/>
    </xf>
    <xf numFmtId="49" fontId="9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49" fontId="13" fillId="2" borderId="0" xfId="0" applyNumberFormat="1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49" fontId="13" fillId="5" borderId="0" xfId="0" applyNumberFormat="1" applyFont="1" applyFill="1" applyAlignment="1">
      <alignment horizontal="center"/>
    </xf>
    <xf numFmtId="49" fontId="0" fillId="5" borderId="0" xfId="0" applyNumberFormat="1" applyFill="1" applyAlignment="1">
      <alignment horizontal="center" vertical="top"/>
    </xf>
    <xf numFmtId="11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 vertical="top"/>
    </xf>
    <xf numFmtId="0" fontId="8" fillId="5" borderId="0" xfId="0" applyFont="1" applyFill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4" fillId="5" borderId="0" xfId="245" applyFont="1" applyFill="1" applyBorder="1" applyAlignment="1">
      <alignment horizontal="center"/>
    </xf>
    <xf numFmtId="11" fontId="0" fillId="5" borderId="0" xfId="0" quotePrefix="1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7" fillId="5" borderId="0" xfId="245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16" fontId="14" fillId="10" borderId="0" xfId="0" applyNumberFormat="1" applyFont="1" applyFill="1" applyAlignment="1">
      <alignment horizontal="center"/>
    </xf>
    <xf numFmtId="11" fontId="13" fillId="10" borderId="0" xfId="0" applyNumberFormat="1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2" fillId="0" borderId="0" xfId="0" applyFont="1"/>
    <xf numFmtId="0" fontId="1" fillId="5" borderId="0" xfId="245" applyFont="1" applyFill="1" applyBorder="1" applyAlignment="1">
      <alignment horizontal="center"/>
    </xf>
    <xf numFmtId="0" fontId="1" fillId="2" borderId="0" xfId="245" applyFont="1" applyFill="1" applyBorder="1" applyAlignment="1">
      <alignment horizontal="center"/>
    </xf>
    <xf numFmtId="0" fontId="0" fillId="2" borderId="0" xfId="0" applyFill="1" applyAlignment="1">
      <alignment horizontal="center" vertical="top" wrapText="1"/>
    </xf>
    <xf numFmtId="0" fontId="1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8" fillId="6" borderId="0" xfId="0" applyFont="1" applyFill="1" applyAlignment="1">
      <alignment horizontal="center"/>
    </xf>
    <xf numFmtId="0" fontId="13" fillId="17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12" fillId="18" borderId="0" xfId="0" applyFont="1" applyFill="1" applyAlignment="1">
      <alignment horizontal="center"/>
    </xf>
    <xf numFmtId="0" fontId="12" fillId="17" borderId="0" xfId="0" applyFont="1" applyFill="1" applyAlignment="1">
      <alignment horizontal="center"/>
    </xf>
    <xf numFmtId="0" fontId="13" fillId="18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left"/>
    </xf>
    <xf numFmtId="1" fontId="13" fillId="12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7" fontId="0" fillId="0" borderId="0" xfId="0" applyNumberFormat="1" applyAlignment="1">
      <alignment horizontal="center"/>
    </xf>
    <xf numFmtId="0" fontId="22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</cellXfs>
  <cellStyles count="653">
    <cellStyle name="Followed Hyperlink" xfId="455" builtinId="9" hidden="1"/>
    <cellStyle name="Followed Hyperlink" xfId="532" builtinId="9" hidden="1"/>
    <cellStyle name="Followed Hyperlink" xfId="561" builtinId="9" hidden="1"/>
    <cellStyle name="Followed Hyperlink" xfId="614" builtinId="9" hidden="1"/>
    <cellStyle name="Followed Hyperlink" xfId="550" builtinId="9" hidden="1"/>
    <cellStyle name="Followed Hyperlink" xfId="470" builtinId="9" hidden="1"/>
    <cellStyle name="Followed Hyperlink" xfId="641" builtinId="9" hidden="1"/>
    <cellStyle name="Followed Hyperlink" xfId="192" builtinId="9" hidden="1"/>
    <cellStyle name="Followed Hyperlink" xfId="345" builtinId="9" hidden="1"/>
    <cellStyle name="Followed Hyperlink" xfId="256" builtinId="9" hidden="1"/>
    <cellStyle name="Followed Hyperlink" xfId="136" builtinId="9" hidden="1"/>
    <cellStyle name="Followed Hyperlink" xfId="88" builtinId="9" hidden="1"/>
    <cellStyle name="Followed Hyperlink" xfId="114" builtinId="9" hidden="1"/>
    <cellStyle name="Followed Hyperlink" xfId="576" builtinId="9" hidden="1"/>
    <cellStyle name="Followed Hyperlink" xfId="280" builtinId="9" hidden="1"/>
    <cellStyle name="Followed Hyperlink" xfId="449" builtinId="9" hidden="1"/>
    <cellStyle name="Followed Hyperlink" xfId="20" builtinId="9" hidden="1"/>
    <cellStyle name="Followed Hyperlink" xfId="407" builtinId="9" hidden="1"/>
    <cellStyle name="Followed Hyperlink" xfId="564" builtinId="9" hidden="1"/>
    <cellStyle name="Followed Hyperlink" xfId="140" builtinId="9" hidden="1"/>
    <cellStyle name="Followed Hyperlink" xfId="646" builtinId="9" hidden="1"/>
    <cellStyle name="Followed Hyperlink" xfId="350" builtinId="9" hidden="1"/>
    <cellStyle name="Followed Hyperlink" xfId="333" builtinId="9" hidden="1"/>
    <cellStyle name="Followed Hyperlink" xfId="507" builtinId="9" hidden="1"/>
    <cellStyle name="Followed Hyperlink" xfId="435" builtinId="9" hidden="1"/>
    <cellStyle name="Followed Hyperlink" xfId="301" builtinId="9" hidden="1"/>
    <cellStyle name="Followed Hyperlink" xfId="154" builtinId="9" hidden="1"/>
    <cellStyle name="Followed Hyperlink" xfId="82" builtinId="9" hidden="1"/>
    <cellStyle name="Followed Hyperlink" xfId="264" builtinId="9" hidden="1"/>
    <cellStyle name="Followed Hyperlink" xfId="578" builtinId="9" hidden="1"/>
    <cellStyle name="Followed Hyperlink" xfId="210" builtinId="9" hidden="1"/>
    <cellStyle name="Followed Hyperlink" xfId="202" builtinId="9" hidden="1"/>
    <cellStyle name="Followed Hyperlink" xfId="529" builtinId="9" hidden="1"/>
    <cellStyle name="Followed Hyperlink" xfId="486" builtinId="9" hidden="1"/>
    <cellStyle name="Followed Hyperlink" xfId="509" builtinId="9" hidden="1"/>
    <cellStyle name="Followed Hyperlink" xfId="332" builtinId="9" hidden="1"/>
    <cellStyle name="Followed Hyperlink" xfId="611" builtinId="9" hidden="1"/>
    <cellStyle name="Followed Hyperlink" xfId="274" builtinId="9" hidden="1"/>
    <cellStyle name="Followed Hyperlink" xfId="528" builtinId="9" hidden="1"/>
    <cellStyle name="Followed Hyperlink" xfId="90" builtinId="9" hidden="1"/>
    <cellStyle name="Followed Hyperlink" xfId="627" builtinId="9" hidden="1"/>
    <cellStyle name="Followed Hyperlink" xfId="296" builtinId="9" hidden="1"/>
    <cellStyle name="Followed Hyperlink" xfId="643" builtinId="9" hidden="1"/>
    <cellStyle name="Followed Hyperlink" xfId="456" builtinId="9" hidden="1"/>
    <cellStyle name="Followed Hyperlink" xfId="387" builtinId="9" hidden="1"/>
    <cellStyle name="Followed Hyperlink" xfId="30" builtinId="9" hidden="1"/>
    <cellStyle name="Followed Hyperlink" xfId="587" builtinId="9" hidden="1"/>
    <cellStyle name="Followed Hyperlink" xfId="347" builtinId="9" hidden="1"/>
    <cellStyle name="Followed Hyperlink" xfId="651" builtinId="9" hidden="1"/>
    <cellStyle name="Followed Hyperlink" xfId="599" builtinId="9" hidden="1"/>
    <cellStyle name="Followed Hyperlink" xfId="361" builtinId="9" hidden="1"/>
    <cellStyle name="Followed Hyperlink" xfId="421" builtinId="9" hidden="1"/>
    <cellStyle name="Followed Hyperlink" xfId="465" builtinId="9" hidden="1"/>
    <cellStyle name="Followed Hyperlink" xfId="291" builtinId="9" hidden="1"/>
    <cellStyle name="Followed Hyperlink" xfId="360" builtinId="9" hidden="1"/>
    <cellStyle name="Followed Hyperlink" xfId="240" builtinId="9" hidden="1"/>
    <cellStyle name="Followed Hyperlink" xfId="370" builtinId="9" hidden="1"/>
    <cellStyle name="Followed Hyperlink" xfId="269" builtinId="9" hidden="1"/>
    <cellStyle name="Followed Hyperlink" xfId="176" builtinId="9" hidden="1"/>
    <cellStyle name="Followed Hyperlink" xfId="242" builtinId="9" hidden="1"/>
    <cellStyle name="Followed Hyperlink" xfId="316" builtinId="9" hidden="1"/>
    <cellStyle name="Followed Hyperlink" xfId="469" builtinId="9" hidden="1"/>
    <cellStyle name="Followed Hyperlink" xfId="324" builtinId="9" hidden="1"/>
    <cellStyle name="Followed Hyperlink" xfId="498" builtinId="9" hidden="1"/>
    <cellStyle name="Followed Hyperlink" xfId="112" builtinId="9" hidden="1"/>
    <cellStyle name="Followed Hyperlink" xfId="104" builtinId="9" hidden="1"/>
    <cellStyle name="Followed Hyperlink" xfId="120" builtinId="9" hidden="1"/>
    <cellStyle name="Followed Hyperlink" xfId="582" builtinId="9" hidden="1"/>
    <cellStyle name="Followed Hyperlink" xfId="166" builtinId="9" hidden="1"/>
    <cellStyle name="Followed Hyperlink" xfId="268" builtinId="9" hidden="1"/>
    <cellStyle name="Followed Hyperlink" xfId="355" builtinId="9" hidden="1"/>
    <cellStyle name="Followed Hyperlink" xfId="295" builtinId="9" hidden="1"/>
    <cellStyle name="Followed Hyperlink" xfId="42" builtinId="9" hidden="1"/>
    <cellStyle name="Followed Hyperlink" xfId="18" builtinId="9" hidden="1"/>
    <cellStyle name="Followed Hyperlink" xfId="337" builtinId="9" hidden="1"/>
    <cellStyle name="Followed Hyperlink" xfId="609" builtinId="9" hidden="1"/>
    <cellStyle name="Followed Hyperlink" xfId="271" builtinId="9" hidden="1"/>
    <cellStyle name="Followed Hyperlink" xfId="575" builtinId="9" hidden="1"/>
    <cellStyle name="Followed Hyperlink" xfId="538" builtinId="9" hidden="1"/>
    <cellStyle name="Followed Hyperlink" xfId="382" builtinId="9" hidden="1"/>
    <cellStyle name="Followed Hyperlink" xfId="433" builtinId="9" hidden="1"/>
    <cellStyle name="Followed Hyperlink" xfId="526" builtinId="9" hidden="1"/>
    <cellStyle name="Followed Hyperlink" xfId="156" builtinId="9" hidden="1"/>
    <cellStyle name="Followed Hyperlink" xfId="511" builtinId="9" hidden="1"/>
    <cellStyle name="Followed Hyperlink" xfId="565" builtinId="9" hidden="1"/>
    <cellStyle name="Followed Hyperlink" xfId="309" builtinId="9" hidden="1"/>
    <cellStyle name="Followed Hyperlink" xfId="226" builtinId="9" hidden="1"/>
    <cellStyle name="Followed Hyperlink" xfId="228" builtinId="9" hidden="1"/>
    <cellStyle name="Followed Hyperlink" xfId="610" builtinId="9" hidden="1"/>
    <cellStyle name="Followed Hyperlink" xfId="437" builtinId="9" hidden="1"/>
    <cellStyle name="Followed Hyperlink" xfId="492" builtinId="9" hidden="1"/>
    <cellStyle name="Followed Hyperlink" xfId="234" builtinId="9" hidden="1"/>
    <cellStyle name="Followed Hyperlink" xfId="462" builtinId="9" hidden="1"/>
    <cellStyle name="Followed Hyperlink" xfId="365" builtinId="9" hidden="1"/>
    <cellStyle name="Followed Hyperlink" xfId="341" builtinId="9" hidden="1"/>
    <cellStyle name="Followed Hyperlink" xfId="357" builtinId="9" hidden="1"/>
    <cellStyle name="Followed Hyperlink" xfId="362" builtinId="9" hidden="1"/>
    <cellStyle name="Followed Hyperlink" xfId="338" builtinId="9" hidden="1"/>
    <cellStyle name="Followed Hyperlink" xfId="74" builtinId="9" hidden="1"/>
    <cellStyle name="Followed Hyperlink" xfId="424" builtinId="9" hidden="1"/>
    <cellStyle name="Followed Hyperlink" xfId="292" builtinId="9" hidden="1"/>
    <cellStyle name="Followed Hyperlink" xfId="378" builtinId="9" hidden="1"/>
    <cellStyle name="Followed Hyperlink" xfId="22" builtinId="9" hidden="1"/>
    <cellStyle name="Followed Hyperlink" xfId="573" builtinId="9" hidden="1"/>
    <cellStyle name="Followed Hyperlink" xfId="402" builtinId="9" hidden="1"/>
    <cellStyle name="Followed Hyperlink" xfId="102" builtinId="9" hidden="1"/>
    <cellStyle name="Followed Hyperlink" xfId="252" builtinId="9" hidden="1"/>
    <cellStyle name="Followed Hyperlink" xfId="457" builtinId="9" hidden="1"/>
    <cellStyle name="Followed Hyperlink" xfId="86" builtinId="9" hidden="1"/>
    <cellStyle name="Followed Hyperlink" xfId="340" builtinId="9" hidden="1"/>
    <cellStyle name="Followed Hyperlink" xfId="385" builtinId="9" hidden="1"/>
    <cellStyle name="Followed Hyperlink" xfId="244" builtinId="9" hidden="1"/>
    <cellStyle name="Followed Hyperlink" xfId="253" builtinId="9" hidden="1"/>
    <cellStyle name="Followed Hyperlink" xfId="40" builtinId="9" hidden="1"/>
    <cellStyle name="Followed Hyperlink" xfId="613" builtinId="9" hidden="1"/>
    <cellStyle name="Followed Hyperlink" xfId="501" builtinId="9" hidden="1"/>
    <cellStyle name="Followed Hyperlink" xfId="66" builtinId="9" hidden="1"/>
    <cellStyle name="Followed Hyperlink" xfId="10" builtinId="9" hidden="1"/>
    <cellStyle name="Followed Hyperlink" xfId="325" builtinId="9" hidden="1"/>
    <cellStyle name="Followed Hyperlink" xfId="484" builtinId="9" hidden="1"/>
    <cellStyle name="Followed Hyperlink" xfId="188" builtinId="9" hidden="1"/>
    <cellStyle name="Followed Hyperlink" xfId="622" builtinId="9" hidden="1"/>
    <cellStyle name="Followed Hyperlink" xfId="431" builtinId="9" hidden="1"/>
    <cellStyle name="Followed Hyperlink" xfId="124" builtinId="9" hidden="1"/>
    <cellStyle name="Followed Hyperlink" xfId="487" builtinId="9" hidden="1"/>
    <cellStyle name="Followed Hyperlink" xfId="198" builtinId="9" hidden="1"/>
    <cellStyle name="Followed Hyperlink" xfId="504" builtinId="9" hidden="1"/>
    <cellStyle name="Followed Hyperlink" xfId="603" builtinId="9" hidden="1"/>
    <cellStyle name="Followed Hyperlink" xfId="471" builtinId="9" hidden="1"/>
    <cellStyle name="Followed Hyperlink" xfId="4" builtinId="9" hidden="1"/>
    <cellStyle name="Followed Hyperlink" xfId="48" builtinId="9" hidden="1"/>
    <cellStyle name="Followed Hyperlink" xfId="150" builtinId="9" hidden="1"/>
    <cellStyle name="Followed Hyperlink" xfId="420" builtinId="9" hidden="1"/>
    <cellStyle name="Followed Hyperlink" xfId="631" builtinId="9" hidden="1"/>
    <cellStyle name="Followed Hyperlink" xfId="346" builtinId="9" hidden="1"/>
    <cellStyle name="Followed Hyperlink" xfId="554" builtinId="9" hidden="1"/>
    <cellStyle name="Followed Hyperlink" xfId="80" builtinId="9" hidden="1"/>
    <cellStyle name="Followed Hyperlink" xfId="466" builtinId="9" hidden="1"/>
    <cellStyle name="Followed Hyperlink" xfId="58" builtinId="9" hidden="1"/>
    <cellStyle name="Followed Hyperlink" xfId="491" builtinId="9" hidden="1"/>
    <cellStyle name="Followed Hyperlink" xfId="363" builtinId="9" hidden="1"/>
    <cellStyle name="Followed Hyperlink" xfId="629" builtinId="9" hidden="1"/>
    <cellStyle name="Followed Hyperlink" xfId="444" builtinId="9" hidden="1"/>
    <cellStyle name="Followed Hyperlink" xfId="395" builtinId="9" hidden="1"/>
    <cellStyle name="Followed Hyperlink" xfId="354" builtinId="9" hidden="1"/>
    <cellStyle name="Followed Hyperlink" xfId="649" builtinId="9" hidden="1"/>
    <cellStyle name="Followed Hyperlink" xfId="593" builtinId="9" hidden="1"/>
    <cellStyle name="Followed Hyperlink" xfId="447" builtinId="9" hidden="1"/>
    <cellStyle name="Followed Hyperlink" xfId="539" builtinId="9" hidden="1"/>
    <cellStyle name="Followed Hyperlink" xfId="331" builtinId="9" hidden="1"/>
    <cellStyle name="Followed Hyperlink" xfId="386" builtinId="9" hidden="1"/>
    <cellStyle name="Followed Hyperlink" xfId="397" builtinId="9" hidden="1"/>
    <cellStyle name="Followed Hyperlink" xfId="285" builtinId="9" hidden="1"/>
    <cellStyle name="Followed Hyperlink" xfId="541" builtinId="9" hidden="1"/>
    <cellStyle name="Followed Hyperlink" xfId="514" builtinId="9" hidden="1"/>
    <cellStyle name="Followed Hyperlink" xfId="458" builtinId="9" hidden="1"/>
    <cellStyle name="Followed Hyperlink" xfId="358" builtinId="9" hidden="1"/>
    <cellStyle name="Followed Hyperlink" xfId="557" builtinId="9" hidden="1"/>
    <cellStyle name="Followed Hyperlink" xfId="569" builtinId="9" hidden="1"/>
    <cellStyle name="Followed Hyperlink" xfId="400" builtinId="9" hidden="1"/>
    <cellStyle name="Followed Hyperlink" xfId="588" builtinId="9" hidden="1"/>
    <cellStyle name="Followed Hyperlink" xfId="267" builtinId="9" hidden="1"/>
    <cellStyle name="Followed Hyperlink" xfId="14" builtinId="9" hidden="1"/>
    <cellStyle name="Followed Hyperlink" xfId="259" builtinId="9" hidden="1"/>
    <cellStyle name="Followed Hyperlink" xfId="477" builtinId="9" hidden="1"/>
    <cellStyle name="Followed Hyperlink" xfId="275" builtinId="9" hidden="1"/>
    <cellStyle name="Followed Hyperlink" xfId="500" builtinId="9" hidden="1"/>
    <cellStyle name="Followed Hyperlink" xfId="218" builtinId="9" hidden="1"/>
    <cellStyle name="Followed Hyperlink" xfId="516" builtinId="9" hidden="1"/>
    <cellStyle name="Followed Hyperlink" xfId="321" builtinId="9" hidden="1"/>
    <cellStyle name="Followed Hyperlink" xfId="334" builtinId="9" hidden="1"/>
    <cellStyle name="Followed Hyperlink" xfId="445" builtinId="9" hidden="1"/>
    <cellStyle name="Followed Hyperlink" xfId="319" builtinId="9" hidden="1"/>
    <cellStyle name="Followed Hyperlink" xfId="619" builtinId="9" hidden="1"/>
    <cellStyle name="Followed Hyperlink" xfId="172" builtinId="9" hidden="1"/>
    <cellStyle name="Followed Hyperlink" xfId="499" builtinId="9" hidden="1"/>
    <cellStyle name="Followed Hyperlink" xfId="272" builtinId="9" hidden="1"/>
    <cellStyle name="Followed Hyperlink" xfId="148" builtinId="9" hidden="1"/>
    <cellStyle name="Followed Hyperlink" xfId="158" builtinId="9" hidden="1"/>
    <cellStyle name="Followed Hyperlink" xfId="100" builtinId="9" hidden="1"/>
    <cellStyle name="Followed Hyperlink" xfId="297" builtinId="9" hidden="1"/>
    <cellStyle name="Followed Hyperlink" xfId="583" builtinId="9" hidden="1"/>
    <cellStyle name="Followed Hyperlink" xfId="555" builtinId="9" hidden="1"/>
    <cellStyle name="Followed Hyperlink" xfId="110" builtinId="9" hidden="1"/>
    <cellStyle name="Followed Hyperlink" xfId="652" builtinId="9" hidden="1"/>
    <cellStyle name="Followed Hyperlink" xfId="451" builtinId="9" hidden="1"/>
    <cellStyle name="Followed Hyperlink" xfId="581" builtinId="9" hidden="1"/>
    <cellStyle name="Followed Hyperlink" xfId="246" builtinId="9" hidden="1"/>
    <cellStyle name="Followed Hyperlink" xfId="426" builtinId="9" hidden="1"/>
    <cellStyle name="Followed Hyperlink" xfId="320" builtinId="9" hidden="1"/>
    <cellStyle name="Followed Hyperlink" xfId="276" builtinId="9" hidden="1"/>
    <cellStyle name="Followed Hyperlink" xfId="632" builtinId="9" hidden="1"/>
    <cellStyle name="Followed Hyperlink" xfId="418" builtinId="9" hidden="1"/>
    <cellStyle name="Followed Hyperlink" xfId="530" builtinId="9" hidden="1"/>
    <cellStyle name="Followed Hyperlink" xfId="168" builtinId="9" hidden="1"/>
    <cellStyle name="Followed Hyperlink" xfId="344" builtinId="9" hidden="1"/>
    <cellStyle name="Followed Hyperlink" xfId="638" builtinId="9" hidden="1"/>
    <cellStyle name="Followed Hyperlink" xfId="311" builtinId="9" hidden="1"/>
    <cellStyle name="Followed Hyperlink" xfId="474" builtinId="9" hidden="1"/>
    <cellStyle name="Followed Hyperlink" xfId="374" builtinId="9" hidden="1"/>
    <cellStyle name="Followed Hyperlink" xfId="533" builtinId="9" hidden="1"/>
    <cellStyle name="Followed Hyperlink" xfId="266" builtinId="9" hidden="1"/>
    <cellStyle name="Followed Hyperlink" xfId="298" builtinId="9" hidden="1"/>
    <cellStyle name="Followed Hyperlink" xfId="527" builtinId="9" hidden="1"/>
    <cellStyle name="Followed Hyperlink" xfId="460" builtinId="9" hidden="1"/>
    <cellStyle name="Followed Hyperlink" xfId="381" builtinId="9" hidden="1"/>
    <cellStyle name="Followed Hyperlink" xfId="308" builtinId="9" hidden="1"/>
    <cellStyle name="Followed Hyperlink" xfId="383" builtinId="9" hidden="1"/>
    <cellStyle name="Followed Hyperlink" xfId="475" builtinId="9" hidden="1"/>
    <cellStyle name="Followed Hyperlink" xfId="106" builtinId="9" hidden="1"/>
    <cellStyle name="Followed Hyperlink" xfId="594" builtinId="9" hidden="1"/>
    <cellStyle name="Followed Hyperlink" xfId="522" builtinId="9" hidden="1"/>
    <cellStyle name="Followed Hyperlink" xfId="579" builtinId="9" hidden="1"/>
    <cellStyle name="Followed Hyperlink" xfId="412" builtinId="9" hidden="1"/>
    <cellStyle name="Followed Hyperlink" xfId="377" builtinId="9" hidden="1"/>
    <cellStyle name="Followed Hyperlink" xfId="389" builtinId="9" hidden="1"/>
    <cellStyle name="Followed Hyperlink" xfId="590" builtinId="9" hidden="1"/>
    <cellStyle name="Followed Hyperlink" xfId="472" builtinId="9" hidden="1"/>
    <cellStyle name="Followed Hyperlink" xfId="408" builtinId="9" hidden="1"/>
    <cellStyle name="Followed Hyperlink" xfId="639" builtinId="9" hidden="1"/>
    <cellStyle name="Followed Hyperlink" xfId="260" builtinId="9" hidden="1"/>
    <cellStyle name="Followed Hyperlink" xfId="591" builtinId="9" hidden="1"/>
    <cellStyle name="Followed Hyperlink" xfId="68" builtinId="9" hidden="1"/>
    <cellStyle name="Followed Hyperlink" xfId="623" builtinId="9" hidden="1"/>
    <cellStyle name="Followed Hyperlink" xfId="430" builtinId="9" hidden="1"/>
    <cellStyle name="Followed Hyperlink" xfId="633" builtinId="9" hidden="1"/>
    <cellStyle name="Followed Hyperlink" xfId="439" builtinId="9" hidden="1"/>
    <cellStyle name="Followed Hyperlink" xfId="585" builtinId="9" hidden="1"/>
    <cellStyle name="Followed Hyperlink" xfId="184" builtinId="9" hidden="1"/>
    <cellStyle name="Followed Hyperlink" xfId="212" builtinId="9" hidden="1"/>
    <cellStyle name="Followed Hyperlink" xfId="481" builtinId="9" hidden="1"/>
    <cellStyle name="Followed Hyperlink" xfId="548" builtinId="9" hidden="1"/>
    <cellStyle name="Followed Hyperlink" xfId="644" builtinId="9" hidden="1"/>
    <cellStyle name="Followed Hyperlink" xfId="493" builtinId="9" hidden="1"/>
    <cellStyle name="Followed Hyperlink" xfId="369" builtinId="9" hidden="1"/>
    <cellStyle name="Followed Hyperlink" xfId="640" builtinId="9" hidden="1"/>
    <cellStyle name="Followed Hyperlink" xfId="307" builtinId="9" hidden="1"/>
    <cellStyle name="Followed Hyperlink" xfId="108" builtinId="9" hidden="1"/>
    <cellStyle name="Followed Hyperlink" xfId="390" builtinId="9" hidden="1"/>
    <cellStyle name="Followed Hyperlink" xfId="250" builtinId="9" hidden="1"/>
    <cellStyle name="Followed Hyperlink" xfId="406" builtinId="9" hidden="1"/>
    <cellStyle name="Followed Hyperlink" xfId="592" builtinId="9" hidden="1"/>
    <cellStyle name="Followed Hyperlink" xfId="419" builtinId="9" hidden="1"/>
    <cellStyle name="Followed Hyperlink" xfId="257" builtinId="9" hidden="1"/>
    <cellStyle name="Followed Hyperlink" xfId="636" builtinId="9" hidden="1"/>
    <cellStyle name="Followed Hyperlink" xfId="413" builtinId="9" hidden="1"/>
    <cellStyle name="Followed Hyperlink" xfId="535" builtinId="9" hidden="1"/>
    <cellStyle name="Followed Hyperlink" xfId="482" builtinId="9" hidden="1"/>
    <cellStyle name="Followed Hyperlink" xfId="118" builtinId="9" hidden="1"/>
    <cellStyle name="Followed Hyperlink" xfId="236" builtinId="9" hidden="1"/>
    <cellStyle name="Followed Hyperlink" xfId="515" builtinId="9" hidden="1"/>
    <cellStyle name="Followed Hyperlink" xfId="589" builtinId="9" hidden="1"/>
    <cellStyle name="Followed Hyperlink" xfId="277" builtinId="9" hidden="1"/>
    <cellStyle name="Followed Hyperlink" xfId="626" builtinId="9" hidden="1"/>
    <cellStyle name="Followed Hyperlink" xfId="490" builtinId="9" hidden="1"/>
    <cellStyle name="Followed Hyperlink" xfId="399" builtinId="9" hidden="1"/>
    <cellStyle name="Followed Hyperlink" xfId="405" builtinId="9" hidden="1"/>
    <cellStyle name="Followed Hyperlink" xfId="415" builtinId="9" hidden="1"/>
    <cellStyle name="Followed Hyperlink" xfId="600" builtinId="9" hidden="1"/>
    <cellStyle name="Followed Hyperlink" xfId="144" builtinId="9" hidden="1"/>
    <cellStyle name="Followed Hyperlink" xfId="220" builtinId="9" hidden="1"/>
    <cellStyle name="Followed Hyperlink" xfId="94" builtinId="9" hidden="1"/>
    <cellStyle name="Followed Hyperlink" xfId="563" builtinId="9" hidden="1"/>
    <cellStyle name="Followed Hyperlink" xfId="394" builtinId="9" hidden="1"/>
    <cellStyle name="Followed Hyperlink" xfId="543" builtinId="9" hidden="1"/>
    <cellStyle name="Followed Hyperlink" xfId="196" builtinId="9" hidden="1"/>
    <cellStyle name="Followed Hyperlink" xfId="204" builtinId="9" hidden="1"/>
    <cellStyle name="Followed Hyperlink" xfId="84" builtinId="9" hidden="1"/>
    <cellStyle name="Followed Hyperlink" xfId="216" builtinId="9" hidden="1"/>
    <cellStyle name="Followed Hyperlink" xfId="559" builtinId="9" hidden="1"/>
    <cellStyle name="Followed Hyperlink" xfId="302" builtinId="9" hidden="1"/>
    <cellStyle name="Followed Hyperlink" xfId="428" builtinId="9" hidden="1"/>
    <cellStyle name="Followed Hyperlink" xfId="621" builtinId="9" hidden="1"/>
    <cellStyle name="Followed Hyperlink" xfId="343" builtinId="9" hidden="1"/>
    <cellStyle name="Followed Hyperlink" xfId="384" builtinId="9" hidden="1"/>
    <cellStyle name="Followed Hyperlink" xfId="26" builtinId="9" hidden="1"/>
    <cellStyle name="Followed Hyperlink" xfId="567" builtinId="9" hidden="1"/>
    <cellStyle name="Followed Hyperlink" xfId="534" builtinId="9" hidden="1"/>
    <cellStyle name="Followed Hyperlink" xfId="238" builtinId="9" hidden="1"/>
    <cellStyle name="Followed Hyperlink" xfId="279" builtinId="9" hidden="1"/>
    <cellStyle name="Followed Hyperlink" xfId="304" builtinId="9" hidden="1"/>
    <cellStyle name="Followed Hyperlink" xfId="422" builtinId="9" hidden="1"/>
    <cellStyle name="Followed Hyperlink" xfId="294" builtinId="9" hidden="1"/>
    <cellStyle name="Followed Hyperlink" xfId="353" builtinId="9" hidden="1"/>
    <cellStyle name="Followed Hyperlink" xfId="612" builtinId="9" hidden="1"/>
    <cellStyle name="Followed Hyperlink" xfId="388" builtinId="9" hidden="1"/>
    <cellStyle name="Followed Hyperlink" xfId="637" builtinId="9" hidden="1"/>
    <cellStyle name="Followed Hyperlink" xfId="134" builtinId="9" hidden="1"/>
    <cellStyle name="Followed Hyperlink" xfId="126" builtinId="9" hidden="1"/>
    <cellStyle name="Followed Hyperlink" xfId="454" builtinId="9" hidden="1"/>
    <cellStyle name="Followed Hyperlink" xfId="650" builtinId="9" hidden="1"/>
    <cellStyle name="Followed Hyperlink" xfId="72" builtinId="9" hidden="1"/>
    <cellStyle name="Followed Hyperlink" xfId="306" builtinId="9" hidden="1"/>
    <cellStyle name="Followed Hyperlink" xfId="160" builtinId="9" hidden="1"/>
    <cellStyle name="Followed Hyperlink" xfId="604" builtinId="9" hidden="1"/>
    <cellStyle name="Followed Hyperlink" xfId="305" builtinId="9" hidden="1"/>
    <cellStyle name="Followed Hyperlink" xfId="496" builtinId="9" hidden="1"/>
    <cellStyle name="Followed Hyperlink" xfId="556" builtinId="9" hidden="1"/>
    <cellStyle name="Followed Hyperlink" xfId="478" builtinId="9" hidden="1"/>
    <cellStyle name="Followed Hyperlink" xfId="50" builtinId="9" hidden="1"/>
    <cellStyle name="Followed Hyperlink" xfId="417" builtinId="9" hidden="1"/>
    <cellStyle name="Followed Hyperlink" xfId="601" builtinId="9" hidden="1"/>
    <cellStyle name="Followed Hyperlink" xfId="512" builtinId="9" hidden="1"/>
    <cellStyle name="Followed Hyperlink" xfId="288" builtinId="9" hidden="1"/>
    <cellStyle name="Followed Hyperlink" xfId="290" builtinId="9" hidden="1"/>
    <cellStyle name="Followed Hyperlink" xfId="224" builtinId="9" hidden="1"/>
    <cellStyle name="Followed Hyperlink" xfId="542" builtinId="9" hidden="1"/>
    <cellStyle name="Followed Hyperlink" xfId="464" builtinId="9" hidden="1"/>
    <cellStyle name="Followed Hyperlink" xfId="128" builtinId="9" hidden="1"/>
    <cellStyle name="Followed Hyperlink" xfId="180" builtinId="9" hidden="1"/>
    <cellStyle name="Followed Hyperlink" xfId="247" builtinId="9" hidden="1"/>
    <cellStyle name="Followed Hyperlink" xfId="414" builtinId="9" hidden="1"/>
    <cellStyle name="Followed Hyperlink" xfId="287" builtinId="9" hidden="1"/>
    <cellStyle name="Followed Hyperlink" xfId="635" builtinId="9" hidden="1"/>
    <cellStyle name="Followed Hyperlink" xfId="510" builtinId="9" hidden="1"/>
    <cellStyle name="Followed Hyperlink" xfId="44" builtinId="9" hidden="1"/>
    <cellStyle name="Followed Hyperlink" xfId="293" builtinId="9" hidden="1"/>
    <cellStyle name="Followed Hyperlink" xfId="508" builtinId="9" hidden="1"/>
    <cellStyle name="Followed Hyperlink" xfId="349" builtinId="9" hidden="1"/>
    <cellStyle name="Followed Hyperlink" xfId="606" builtinId="9" hidden="1"/>
    <cellStyle name="Followed Hyperlink" xfId="574" builtinId="9" hidden="1"/>
    <cellStyle name="Followed Hyperlink" xfId="617" builtinId="9" hidden="1"/>
    <cellStyle name="Followed Hyperlink" xfId="162" builtinId="9" hidden="1"/>
    <cellStyle name="Followed Hyperlink" xfId="6" builtinId="9" hidden="1"/>
    <cellStyle name="Followed Hyperlink" xfId="520" builtinId="9" hidden="1"/>
    <cellStyle name="Followed Hyperlink" xfId="174" builtinId="9" hidden="1"/>
    <cellStyle name="Followed Hyperlink" xfId="425" builtinId="9" hidden="1"/>
    <cellStyle name="Followed Hyperlink" xfId="502" builtinId="9" hidden="1"/>
    <cellStyle name="Followed Hyperlink" xfId="348" builtinId="9" hidden="1"/>
    <cellStyle name="Followed Hyperlink" xfId="318" builtinId="9" hidden="1"/>
    <cellStyle name="Followed Hyperlink" xfId="473" builtinId="9" hidden="1"/>
    <cellStyle name="Followed Hyperlink" xfId="571" builtinId="9" hidden="1"/>
    <cellStyle name="Followed Hyperlink" xfId="322" builtinId="9" hidden="1"/>
    <cellStyle name="Followed Hyperlink" xfId="624" builtinId="9" hidden="1"/>
    <cellStyle name="Followed Hyperlink" xfId="34" builtinId="9" hidden="1"/>
    <cellStyle name="Followed Hyperlink" xfId="602" builtinId="9" hidden="1"/>
    <cellStyle name="Followed Hyperlink" xfId="251" builtinId="9" hidden="1"/>
    <cellStyle name="Followed Hyperlink" xfId="479" builtinId="9" hidden="1"/>
    <cellStyle name="Followed Hyperlink" xfId="436" builtinId="9" hidden="1"/>
    <cellStyle name="Followed Hyperlink" xfId="314" builtinId="9" hidden="1"/>
    <cellStyle name="Followed Hyperlink" xfId="16" builtinId="9" hidden="1"/>
    <cellStyle name="Followed Hyperlink" xfId="368" builtinId="9" hidden="1"/>
    <cellStyle name="Followed Hyperlink" xfId="645" builtinId="9" hidden="1"/>
    <cellStyle name="Followed Hyperlink" xfId="480" builtinId="9" hidden="1"/>
    <cellStyle name="Followed Hyperlink" xfId="96" builtinId="9" hidden="1"/>
    <cellStyle name="Followed Hyperlink" xfId="625" builtinId="9" hidden="1"/>
    <cellStyle name="Followed Hyperlink" xfId="537" builtinId="9" hidden="1"/>
    <cellStyle name="Followed Hyperlink" xfId="282" builtinId="9" hidden="1"/>
    <cellStyle name="Followed Hyperlink" xfId="524" builtinId="9" hidden="1"/>
    <cellStyle name="Followed Hyperlink" xfId="258" builtinId="9" hidden="1"/>
    <cellStyle name="Followed Hyperlink" xfId="438" builtinId="9" hidden="1"/>
    <cellStyle name="Followed Hyperlink" xfId="596" builtinId="9" hidden="1"/>
    <cellStyle name="Followed Hyperlink" xfId="411" builtinId="9" hidden="1"/>
    <cellStyle name="Followed Hyperlink" xfId="194" builtinId="9" hidden="1"/>
    <cellStyle name="Followed Hyperlink" xfId="138" builtinId="9" hidden="1"/>
    <cellStyle name="Followed Hyperlink" xfId="443" builtinId="9" hidden="1"/>
    <cellStyle name="Followed Hyperlink" xfId="132" builtinId="9" hidden="1"/>
    <cellStyle name="Followed Hyperlink" xfId="92" builtinId="9" hidden="1"/>
    <cellStyle name="Followed Hyperlink" xfId="32" builtinId="9" hidden="1"/>
    <cellStyle name="Followed Hyperlink" xfId="427" builtinId="9" hidden="1"/>
    <cellStyle name="Followed Hyperlink" xfId="553" builtinId="9" hidden="1"/>
    <cellStyle name="Followed Hyperlink" xfId="442" builtinId="9" hidden="1"/>
    <cellStyle name="Followed Hyperlink" xfId="254" builtinId="9" hidden="1"/>
    <cellStyle name="Followed Hyperlink" xfId="459" builtinId="9" hidden="1"/>
    <cellStyle name="Followed Hyperlink" xfId="450" builtinId="9" hidden="1"/>
    <cellStyle name="Followed Hyperlink" xfId="396" builtinId="9" hidden="1"/>
    <cellStyle name="Followed Hyperlink" xfId="545" builtinId="9" hidden="1"/>
    <cellStyle name="Followed Hyperlink" xfId="373" builtinId="9" hidden="1"/>
    <cellStyle name="Followed Hyperlink" xfId="605" builtinId="9" hidden="1"/>
    <cellStyle name="Followed Hyperlink" xfId="364" builtinId="9" hidden="1"/>
    <cellStyle name="Followed Hyperlink" xfId="392" builtinId="9" hidden="1"/>
    <cellStyle name="Followed Hyperlink" xfId="551" builtinId="9" hidden="1"/>
    <cellStyle name="Followed Hyperlink" xfId="546" builtinId="9" hidden="1"/>
    <cellStyle name="Followed Hyperlink" xfId="577" builtinId="9" hidden="1"/>
    <cellStyle name="Followed Hyperlink" xfId="329" builtinId="9" hidden="1"/>
    <cellStyle name="Followed Hyperlink" xfId="506" builtinId="9" hidden="1"/>
    <cellStyle name="Followed Hyperlink" xfId="356" builtinId="9" hidden="1"/>
    <cellStyle name="Followed Hyperlink" xfId="547" builtinId="9" hidden="1"/>
    <cellStyle name="Followed Hyperlink" xfId="76" builtinId="9" hidden="1"/>
    <cellStyle name="Followed Hyperlink" xfId="70" builtinId="9" hidden="1"/>
    <cellStyle name="Followed Hyperlink" xfId="317" builtinId="9" hidden="1"/>
    <cellStyle name="Followed Hyperlink" xfId="327" builtinId="9" hidden="1"/>
    <cellStyle name="Followed Hyperlink" xfId="78" builtinId="9" hidden="1"/>
    <cellStyle name="Followed Hyperlink" xfId="398" builtinId="9" hidden="1"/>
    <cellStyle name="Followed Hyperlink" xfId="248" builtinId="9" hidden="1"/>
    <cellStyle name="Followed Hyperlink" xfId="453" builtinId="9" hidden="1"/>
    <cellStyle name="Followed Hyperlink" xfId="122" builtinId="9" hidden="1"/>
    <cellStyle name="Followed Hyperlink" xfId="303" builtinId="9" hidden="1"/>
    <cellStyle name="Followed Hyperlink" xfId="607" builtinId="9" hidden="1"/>
    <cellStyle name="Followed Hyperlink" xfId="313" builtinId="9" hidden="1"/>
    <cellStyle name="Followed Hyperlink" xfId="380" builtinId="9" hidden="1"/>
    <cellStyle name="Followed Hyperlink" xfId="255" builtinId="9" hidden="1"/>
    <cellStyle name="Followed Hyperlink" xfId="495" builtinId="9" hidden="1"/>
    <cellStyle name="Followed Hyperlink" xfId="503" builtinId="9" hidden="1"/>
    <cellStyle name="Followed Hyperlink" xfId="152" builtinId="9" hidden="1"/>
    <cellStyle name="Followed Hyperlink" xfId="214" builtinId="9" hidden="1"/>
    <cellStyle name="Followed Hyperlink" xfId="376" builtinId="9" hidden="1"/>
    <cellStyle name="Followed Hyperlink" xfId="286" builtinId="9" hidden="1"/>
    <cellStyle name="Followed Hyperlink" xfId="60" builtinId="9" hidden="1"/>
    <cellStyle name="Followed Hyperlink" xfId="265" builtinId="9" hidden="1"/>
    <cellStyle name="Followed Hyperlink" xfId="483" builtinId="9" hidden="1"/>
    <cellStyle name="Followed Hyperlink" xfId="2" builtinId="9" hidden="1"/>
    <cellStyle name="Followed Hyperlink" xfId="568" builtinId="9" hidden="1"/>
    <cellStyle name="Followed Hyperlink" xfId="494" builtinId="9" hidden="1"/>
    <cellStyle name="Followed Hyperlink" xfId="403" builtinId="9" hidden="1"/>
    <cellStyle name="Followed Hyperlink" xfId="222" builtinId="9" hidden="1"/>
    <cellStyle name="Followed Hyperlink" xfId="335" builtinId="9" hidden="1"/>
    <cellStyle name="Followed Hyperlink" xfId="401" builtinId="9" hidden="1"/>
    <cellStyle name="Followed Hyperlink" xfId="283" builtinId="9" hidden="1"/>
    <cellStyle name="Followed Hyperlink" xfId="544" builtinId="9" hidden="1"/>
    <cellStyle name="Followed Hyperlink" xfId="468" builtinId="9" hidden="1"/>
    <cellStyle name="Followed Hyperlink" xfId="549" builtinId="9" hidden="1"/>
    <cellStyle name="Followed Hyperlink" xfId="312" builtinId="9" hidden="1"/>
    <cellStyle name="Followed Hyperlink" xfId="461" builtinId="9" hidden="1"/>
    <cellStyle name="Followed Hyperlink" xfId="379" builtinId="9" hidden="1"/>
    <cellStyle name="Followed Hyperlink" xfId="52" builtinId="9" hidden="1"/>
    <cellStyle name="Followed Hyperlink" xfId="489" builtinId="9" hidden="1"/>
    <cellStyle name="Followed Hyperlink" xfId="560" builtinId="9" hidden="1"/>
    <cellStyle name="Followed Hyperlink" xfId="485" builtinId="9" hidden="1"/>
    <cellStyle name="Followed Hyperlink" xfId="336" builtinId="9" hidden="1"/>
    <cellStyle name="Followed Hyperlink" xfId="372" builtinId="9" hidden="1"/>
    <cellStyle name="Followed Hyperlink" xfId="323" builtinId="9" hidden="1"/>
    <cellStyle name="Followed Hyperlink" xfId="142" builtinId="9" hidden="1"/>
    <cellStyle name="Followed Hyperlink" xfId="597" builtinId="9" hidden="1"/>
    <cellStyle name="Followed Hyperlink" xfId="562" builtinId="9" hidden="1"/>
    <cellStyle name="Followed Hyperlink" xfId="54" builtinId="9" hidden="1"/>
    <cellStyle name="Followed Hyperlink" xfId="164" builtinId="9" hidden="1"/>
    <cellStyle name="Followed Hyperlink" xfId="531" builtinId="9" hidden="1"/>
    <cellStyle name="Followed Hyperlink" xfId="440" builtinId="9" hidden="1"/>
    <cellStyle name="Followed Hyperlink" xfId="448" builtinId="9" hidden="1"/>
    <cellStyle name="Followed Hyperlink" xfId="284" builtinId="9" hidden="1"/>
    <cellStyle name="Followed Hyperlink" xfId="648" builtinId="9" hidden="1"/>
    <cellStyle name="Followed Hyperlink" xfId="404" builtinId="9" hidden="1"/>
    <cellStyle name="Followed Hyperlink" xfId="330" builtinId="9" hidden="1"/>
    <cellStyle name="Followed Hyperlink" xfId="519" builtinId="9" hidden="1"/>
    <cellStyle name="Followed Hyperlink" xfId="441" builtinId="9" hidden="1"/>
    <cellStyle name="Followed Hyperlink" xfId="130" builtinId="9" hidden="1"/>
    <cellStyle name="Followed Hyperlink" xfId="505" builtinId="9" hidden="1"/>
    <cellStyle name="Followed Hyperlink" xfId="315" builtinId="9" hidden="1"/>
    <cellStyle name="Followed Hyperlink" xfId="342" builtinId="9" hidden="1"/>
    <cellStyle name="Followed Hyperlink" xfId="521" builtinId="9" hidden="1"/>
    <cellStyle name="Followed Hyperlink" xfId="476" builtinId="9" hidden="1"/>
    <cellStyle name="Followed Hyperlink" xfId="208" builtinId="9" hidden="1"/>
    <cellStyle name="Followed Hyperlink" xfId="634" builtinId="9" hidden="1"/>
    <cellStyle name="Followed Hyperlink" xfId="8" builtinId="9" hidden="1"/>
    <cellStyle name="Followed Hyperlink" xfId="525" builtinId="9" hidden="1"/>
    <cellStyle name="Followed Hyperlink" xfId="488" builtinId="9" hidden="1"/>
    <cellStyle name="Followed Hyperlink" xfId="630" builtinId="9" hidden="1"/>
    <cellStyle name="Followed Hyperlink" xfId="281" builtinId="9" hidden="1"/>
    <cellStyle name="Followed Hyperlink" xfId="446" builtinId="9" hidden="1"/>
    <cellStyle name="Followed Hyperlink" xfId="289" builtinId="9" hidden="1"/>
    <cellStyle name="Followed Hyperlink" xfId="261" builtinId="9" hidden="1"/>
    <cellStyle name="Followed Hyperlink" xfId="62" builtinId="9" hidden="1"/>
    <cellStyle name="Followed Hyperlink" xfId="170" builtinId="9" hidden="1"/>
    <cellStyle name="Followed Hyperlink" xfId="620" builtinId="9" hidden="1"/>
    <cellStyle name="Followed Hyperlink" xfId="352" builtinId="9" hidden="1"/>
    <cellStyle name="Followed Hyperlink" xfId="98" builtinId="9" hidden="1"/>
    <cellStyle name="Followed Hyperlink" xfId="230" builtinId="9" hidden="1"/>
    <cellStyle name="Followed Hyperlink" xfId="615" builtinId="9" hidden="1"/>
    <cellStyle name="Followed Hyperlink" xfId="572" builtinId="9" hidden="1"/>
    <cellStyle name="Followed Hyperlink" xfId="497" builtinId="9" hidden="1"/>
    <cellStyle name="Followed Hyperlink" xfId="642" builtinId="9" hidden="1"/>
    <cellStyle name="Followed Hyperlink" xfId="552" builtinId="9" hidden="1"/>
    <cellStyle name="Followed Hyperlink" xfId="618" builtinId="9" hidden="1"/>
    <cellStyle name="Followed Hyperlink" xfId="517" builtinId="9" hidden="1"/>
    <cellStyle name="Followed Hyperlink" xfId="186" builtinId="9" hidden="1"/>
    <cellStyle name="Followed Hyperlink" xfId="467" builtinId="9" hidden="1"/>
    <cellStyle name="Followed Hyperlink" xfId="452" builtinId="9" hidden="1"/>
    <cellStyle name="Followed Hyperlink" xfId="393" builtinId="9" hidden="1"/>
    <cellStyle name="Followed Hyperlink" xfId="580" builtinId="9" hidden="1"/>
    <cellStyle name="Followed Hyperlink" xfId="328" builtinId="9" hidden="1"/>
    <cellStyle name="Followed Hyperlink" xfId="46" builtinId="9" hidden="1"/>
    <cellStyle name="Followed Hyperlink" xfId="262" builtinId="9" hidden="1"/>
    <cellStyle name="Followed Hyperlink" xfId="429" builtinId="9" hidden="1"/>
    <cellStyle name="Followed Hyperlink" xfId="116" builtinId="9" hidden="1"/>
    <cellStyle name="Followed Hyperlink" xfId="182" builtinId="9" hidden="1"/>
    <cellStyle name="Followed Hyperlink" xfId="628" builtinId="9" hidden="1"/>
    <cellStyle name="Followed Hyperlink" xfId="200" builtinId="9" hidden="1"/>
    <cellStyle name="Followed Hyperlink" xfId="595" builtinId="9" hidden="1"/>
    <cellStyle name="Followed Hyperlink" xfId="28" builtinId="9" hidden="1"/>
    <cellStyle name="Followed Hyperlink" xfId="24" builtinId="9" hidden="1"/>
    <cellStyle name="Followed Hyperlink" xfId="536" builtinId="9" hidden="1"/>
    <cellStyle name="Followed Hyperlink" xfId="540" builtinId="9" hidden="1"/>
    <cellStyle name="Followed Hyperlink" xfId="56" builtinId="9" hidden="1"/>
    <cellStyle name="Followed Hyperlink" xfId="513" builtinId="9" hidden="1"/>
    <cellStyle name="Followed Hyperlink" xfId="518" builtinId="9" hidden="1"/>
    <cellStyle name="Followed Hyperlink" xfId="278" builtinId="9" hidden="1"/>
    <cellStyle name="Followed Hyperlink" xfId="206" builtinId="9" hidden="1"/>
    <cellStyle name="Followed Hyperlink" xfId="371" builtinId="9" hidden="1"/>
    <cellStyle name="Followed Hyperlink" xfId="339" builtinId="9" hidden="1"/>
    <cellStyle name="Followed Hyperlink" xfId="232" builtinId="9" hidden="1"/>
    <cellStyle name="Followed Hyperlink" xfId="367" builtinId="9" hidden="1"/>
    <cellStyle name="Followed Hyperlink" xfId="359" builtinId="9" hidden="1"/>
    <cellStyle name="Followed Hyperlink" xfId="434" builtinId="9" hidden="1"/>
    <cellStyle name="Followed Hyperlink" xfId="351" builtinId="9" hidden="1"/>
    <cellStyle name="Followed Hyperlink" xfId="300" builtinId="9" hidden="1"/>
    <cellStyle name="Followed Hyperlink" xfId="310" builtinId="9" hidden="1"/>
    <cellStyle name="Followed Hyperlink" xfId="12" builtinId="9" hidden="1"/>
    <cellStyle name="Followed Hyperlink" xfId="608" builtinId="9" hidden="1"/>
    <cellStyle name="Followed Hyperlink" xfId="410" builtinId="9" hidden="1"/>
    <cellStyle name="Followed Hyperlink" xfId="270" builtinId="9" hidden="1"/>
    <cellStyle name="Followed Hyperlink" xfId="647" builtinId="9" hidden="1"/>
    <cellStyle name="Followed Hyperlink" xfId="249" builtinId="9" hidden="1"/>
    <cellStyle name="Followed Hyperlink" xfId="38" builtinId="9" hidden="1"/>
    <cellStyle name="Followed Hyperlink" xfId="375" builtinId="9" hidden="1"/>
    <cellStyle name="Followed Hyperlink" xfId="523" builtinId="9" hidden="1"/>
    <cellStyle name="Followed Hyperlink" xfId="299" builtinId="9" hidden="1"/>
    <cellStyle name="Followed Hyperlink" xfId="263" builtinId="9" hidden="1"/>
    <cellStyle name="Followed Hyperlink" xfId="146" builtinId="9" hidden="1"/>
    <cellStyle name="Followed Hyperlink" xfId="616" builtinId="9" hidden="1"/>
    <cellStyle name="Followed Hyperlink" xfId="566" builtinId="9" hidden="1"/>
    <cellStyle name="Followed Hyperlink" xfId="409" builtinId="9" hidden="1"/>
    <cellStyle name="Followed Hyperlink" xfId="586" builtinId="9" hidden="1"/>
    <cellStyle name="Followed Hyperlink" xfId="584" builtinId="9" hidden="1"/>
    <cellStyle name="Followed Hyperlink" xfId="598" builtinId="9" hidden="1"/>
    <cellStyle name="Followed Hyperlink" xfId="178" builtinId="9" hidden="1"/>
    <cellStyle name="Followed Hyperlink" xfId="416" builtinId="9" hidden="1"/>
    <cellStyle name="Followed Hyperlink" xfId="558" builtinId="9" hidden="1"/>
    <cellStyle name="Followed Hyperlink" xfId="36" builtinId="9" hidden="1"/>
    <cellStyle name="Followed Hyperlink" xfId="423" builtinId="9" hidden="1"/>
    <cellStyle name="Followed Hyperlink" xfId="463" builtinId="9" hidden="1"/>
    <cellStyle name="Followed Hyperlink" xfId="64" builtinId="9" hidden="1"/>
    <cellStyle name="Followed Hyperlink" xfId="190" builtinId="9" hidden="1"/>
    <cellStyle name="Followed Hyperlink" xfId="570" builtinId="9" hidden="1"/>
    <cellStyle name="Followed Hyperlink" xfId="366" builtinId="9" hidden="1"/>
    <cellStyle name="Followed Hyperlink" xfId="326" builtinId="9" hidden="1"/>
    <cellStyle name="Followed Hyperlink" xfId="391" builtinId="9" hidden="1"/>
    <cellStyle name="Followed Hyperlink" xfId="432" builtinId="9" hidden="1"/>
    <cellStyle name="Followed Hyperlink" xfId="273" builtinId="9" hidden="1"/>
    <cellStyle name="Hyperlink" xfId="209" builtinId="8" hidden="1"/>
    <cellStyle name="Hyperlink" xfId="79" builtinId="8" hidden="1"/>
    <cellStyle name="Hyperlink" xfId="199" builtinId="8" hidden="1"/>
    <cellStyle name="Hyperlink" xfId="115" builtinId="8" hidden="1"/>
    <cellStyle name="Hyperlink" xfId="77" builtinId="8" hidden="1"/>
    <cellStyle name="Hyperlink" xfId="99" builtinId="8" hidden="1"/>
    <cellStyle name="Hyperlink" xfId="21" builtinId="8" hidden="1"/>
    <cellStyle name="Hyperlink" xfId="23" builtinId="8" hidden="1"/>
    <cellStyle name="Hyperlink" xfId="125" builtinId="8" hidden="1"/>
    <cellStyle name="Hyperlink" xfId="35" builtinId="8" hidden="1"/>
    <cellStyle name="Hyperlink" xfId="29" builtinId="8" hidden="1"/>
    <cellStyle name="Hyperlink" xfId="31" builtinId="8" hidden="1"/>
    <cellStyle name="Hyperlink" xfId="107" builtinId="8" hidden="1"/>
    <cellStyle name="Hyperlink" xfId="5" builtinId="8" hidden="1"/>
    <cellStyle name="Hyperlink" xfId="13" builtinId="8" hidden="1"/>
    <cellStyle name="Hyperlink" xfId="15" builtinId="8" hidden="1"/>
    <cellStyle name="Hyperlink" xfId="141" builtinId="8" hidden="1"/>
    <cellStyle name="Hyperlink" xfId="83" builtinId="8" hidden="1"/>
    <cellStyle name="Hyperlink" xfId="73" builtinId="8" hidden="1"/>
    <cellStyle name="Hyperlink" xfId="87" builtinId="8" hidden="1"/>
    <cellStyle name="Hyperlink" xfId="55" builtinId="8" hidden="1"/>
    <cellStyle name="Hyperlink" xfId="51" builtinId="8" hidden="1"/>
    <cellStyle name="Hyperlink" xfId="53" builtinId="8" hidden="1"/>
    <cellStyle name="Hyperlink" xfId="117" builtinId="8" hidden="1"/>
    <cellStyle name="Hyperlink" xfId="67" builtinId="8" hidden="1"/>
    <cellStyle name="Hyperlink" xfId="61" builtinId="8" hidden="1"/>
    <cellStyle name="Hyperlink" xfId="63" builtinId="8" hidden="1"/>
    <cellStyle name="Hyperlink" xfId="95" builtinId="8" hidden="1"/>
    <cellStyle name="Hyperlink" xfId="91" builtinId="8" hidden="1"/>
    <cellStyle name="Hyperlink" xfId="111" builtinId="8" hidden="1"/>
    <cellStyle name="Hyperlink" xfId="43" builtinId="8" hidden="1"/>
    <cellStyle name="Hyperlink" xfId="45" builtinId="8" hidden="1"/>
    <cellStyle name="Hyperlink" xfId="133" builtinId="8" hidden="1"/>
    <cellStyle name="Hyperlink" xfId="223" builtinId="8" hidden="1"/>
    <cellStyle name="Hyperlink" xfId="7" builtinId="8" hidden="1"/>
    <cellStyle name="Hyperlink" xfId="175" builtinId="8" hidden="1"/>
    <cellStyle name="Hyperlink" xfId="123" builtinId="8" hidden="1"/>
    <cellStyle name="Hyperlink" xfId="147" builtinId="8" hidden="1"/>
    <cellStyle name="Hyperlink" xfId="131" builtinId="8" hidden="1"/>
    <cellStyle name="Hyperlink" xfId="103" builtinId="8" hidden="1"/>
    <cellStyle name="Hyperlink" xfId="25" builtinId="8" hidden="1"/>
    <cellStyle name="Hyperlink" xfId="149" builtinId="8" hidden="1"/>
    <cellStyle name="Hyperlink" xfId="135" builtinId="8" hidden="1"/>
    <cellStyle name="Hyperlink" xfId="215" builtinId="8" hidden="1"/>
    <cellStyle name="Hyperlink" xfId="151" builtinId="8" hidden="1"/>
    <cellStyle name="Hyperlink" xfId="139" builtinId="8" hidden="1"/>
    <cellStyle name="Hyperlink" xfId="47" builtinId="8" hidden="1"/>
    <cellStyle name="Hyperlink" xfId="153" builtinId="8" hidden="1"/>
    <cellStyle name="Hyperlink" xfId="143" builtinId="8" hidden="1"/>
    <cellStyle name="Hyperlink" xfId="181" builtinId="8" hidden="1"/>
    <cellStyle name="Hyperlink" xfId="155" builtinId="8" hidden="1"/>
    <cellStyle name="Hyperlink" xfId="165" builtinId="8" hidden="1"/>
    <cellStyle name="Hyperlink" xfId="17" builtinId="8" hidden="1"/>
    <cellStyle name="Hyperlink" xfId="157" builtinId="8" hidden="1"/>
    <cellStyle name="Hyperlink" xfId="3" builtinId="8" hidden="1"/>
    <cellStyle name="Hyperlink" xfId="235" builtinId="8" hidden="1"/>
    <cellStyle name="Hyperlink" xfId="159" builtinId="8" hidden="1"/>
    <cellStyle name="Hyperlink" xfId="241" builtinId="8" hidden="1"/>
    <cellStyle name="Hyperlink" xfId="161" builtinId="8" hidden="1"/>
    <cellStyle name="Hyperlink" xfId="69" builtinId="8" hidden="1"/>
    <cellStyle name="Hyperlink" xfId="163" builtinId="8" hidden="1"/>
    <cellStyle name="Hyperlink" xfId="203" builtinId="8" hidden="1"/>
    <cellStyle name="Hyperlink" xfId="1" builtinId="8" hidden="1"/>
    <cellStyle name="Hyperlink" xfId="37" builtinId="8" hidden="1"/>
    <cellStyle name="Hyperlink" xfId="243" builtinId="8" hidden="1"/>
    <cellStyle name="Hyperlink" xfId="171" builtinId="8" hidden="1"/>
    <cellStyle name="Hyperlink" xfId="71" builtinId="8" hidden="1"/>
    <cellStyle name="Hyperlink" xfId="9" builtinId="8" hidden="1"/>
    <cellStyle name="Hyperlink" xfId="205" builtinId="8" hidden="1"/>
    <cellStyle name="Hyperlink" xfId="227" builtinId="8" hidden="1"/>
    <cellStyle name="Hyperlink" xfId="39" builtinId="8" hidden="1"/>
    <cellStyle name="Hyperlink" xfId="57" builtinId="8" hidden="1"/>
    <cellStyle name="Hyperlink" xfId="173" builtinId="8" hidden="1"/>
    <cellStyle name="Hyperlink" xfId="11" builtinId="8" hidden="1"/>
    <cellStyle name="Hyperlink" xfId="229" builtinId="8" hidden="1"/>
    <cellStyle name="Hyperlink" xfId="59" builtinId="8" hidden="1"/>
    <cellStyle name="Hyperlink" xfId="193" builtinId="8" hidden="1"/>
    <cellStyle name="Hyperlink" xfId="27" builtinId="8" hidden="1"/>
    <cellStyle name="Hyperlink" xfId="217" builtinId="8" hidden="1"/>
    <cellStyle name="Hyperlink" xfId="49" builtinId="8" hidden="1"/>
    <cellStyle name="Hyperlink" xfId="183" builtinId="8" hidden="1"/>
    <cellStyle name="Hyperlink" xfId="19" builtinId="8" hidden="1"/>
    <cellStyle name="Hyperlink" xfId="191" builtinId="8" hidden="1"/>
    <cellStyle name="Hyperlink" xfId="65" builtinId="8" hidden="1"/>
    <cellStyle name="Hyperlink" xfId="109" builtinId="8" hidden="1"/>
    <cellStyle name="Hyperlink" xfId="207" builtinId="8" hidden="1"/>
    <cellStyle name="Hyperlink" xfId="93" builtinId="8" hidden="1"/>
    <cellStyle name="Hyperlink" xfId="189" builtinId="8" hidden="1"/>
    <cellStyle name="Hyperlink" xfId="185" builtinId="8" hidden="1"/>
    <cellStyle name="Hyperlink" xfId="187" builtinId="8" hidden="1"/>
    <cellStyle name="Hyperlink" xfId="121" builtinId="8" hidden="1"/>
    <cellStyle name="Hyperlink" xfId="201" builtinId="8" hidden="1"/>
    <cellStyle name="Hyperlink" xfId="195" builtinId="8" hidden="1"/>
    <cellStyle name="Hyperlink" xfId="197" builtinId="8" hidden="1"/>
    <cellStyle name="Hyperlink" xfId="101" builtinId="8" hidden="1"/>
    <cellStyle name="Hyperlink" xfId="97" builtinId="8" hidden="1"/>
    <cellStyle name="Hyperlink" xfId="167" builtinId="8" hidden="1"/>
    <cellStyle name="Hyperlink" xfId="177" builtinId="8" hidden="1"/>
    <cellStyle name="Hyperlink" xfId="179" builtinId="8" hidden="1"/>
    <cellStyle name="Hyperlink" xfId="137" builtinId="8" hidden="1"/>
    <cellStyle name="Hyperlink" xfId="75" builtinId="8" hidden="1"/>
    <cellStyle name="Hyperlink" xfId="239" builtinId="8" hidden="1"/>
    <cellStyle name="Hyperlink" xfId="81" builtinId="8" hidden="1"/>
    <cellStyle name="Hyperlink" xfId="127" builtinId="8" hidden="1"/>
    <cellStyle name="Hyperlink" xfId="225" builtinId="8" hidden="1"/>
    <cellStyle name="Hyperlink" xfId="219" builtinId="8" hidden="1"/>
    <cellStyle name="Hyperlink" xfId="221" builtinId="8" hidden="1"/>
    <cellStyle name="Hyperlink" xfId="113" builtinId="8" hidden="1"/>
    <cellStyle name="Hyperlink" xfId="237" builtinId="8" hidden="1"/>
    <cellStyle name="Hyperlink" xfId="231" builtinId="8" hidden="1"/>
    <cellStyle name="Hyperlink" xfId="233" builtinId="8" hidden="1"/>
    <cellStyle name="Hyperlink" xfId="145" builtinId="8" hidden="1"/>
    <cellStyle name="Hyperlink" xfId="89" builtinId="8" hidden="1"/>
    <cellStyle name="Hyperlink" xfId="85" builtinId="8" hidden="1"/>
    <cellStyle name="Hyperlink" xfId="105" builtinId="8" hidden="1"/>
    <cellStyle name="Hyperlink" xfId="211" builtinId="8" hidden="1"/>
    <cellStyle name="Hyperlink" xfId="213" builtinId="8" hidden="1"/>
    <cellStyle name="Hyperlink" xfId="129" builtinId="8" hidden="1"/>
    <cellStyle name="Hyperlink" xfId="33" builtinId="8" hidden="1"/>
    <cellStyle name="Hyperlink" xfId="119" builtinId="8" hidden="1"/>
    <cellStyle name="Hyperlink" xfId="169" builtinId="8" hidden="1"/>
    <cellStyle name="Hyperlink" xfId="41" builtinId="8" hidden="1"/>
    <cellStyle name="Hyperlink" xfId="245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olegend.com/en-us/search-results?Clone=SA203G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F2A5-F718-4B90-9A47-8C368DE96209}">
  <dimension ref="A1:R1027"/>
  <sheetViews>
    <sheetView tabSelected="1" zoomScale="106" zoomScaleNormal="125" workbookViewId="0">
      <pane ySplit="1" topLeftCell="A993" activePane="bottomLeft" state="frozen"/>
      <selection pane="bottomLeft" activeCell="F1005" sqref="F1005"/>
    </sheetView>
  </sheetViews>
  <sheetFormatPr baseColWidth="10" defaultColWidth="8.83203125" defaultRowHeight="16" x14ac:dyDescent="0.2"/>
  <cols>
    <col min="1" max="1" width="6.1640625" style="68" customWidth="1"/>
    <col min="2" max="2" width="7.5" style="27" customWidth="1"/>
    <col min="3" max="3" width="9.6640625" style="27" customWidth="1"/>
    <col min="4" max="4" width="11.1640625" style="27" customWidth="1"/>
    <col min="5" max="5" width="12.5" style="2" customWidth="1"/>
    <col min="6" max="6" width="18" style="7" customWidth="1"/>
    <col min="7" max="7" width="25.83203125" style="5" customWidth="1"/>
    <col min="8" max="8" width="19.6640625" style="6" customWidth="1"/>
    <col min="9" max="9" width="29.5" style="27" customWidth="1"/>
    <col min="10" max="10" width="28.5" style="6" customWidth="1"/>
    <col min="11" max="11" width="26" style="39" customWidth="1"/>
    <col min="12" max="12" width="17.33203125" style="34" customWidth="1"/>
    <col min="13" max="13" width="42.6640625" customWidth="1"/>
    <col min="14" max="14" width="25.1640625" style="1" customWidth="1"/>
    <col min="15" max="15" width="17.33203125" customWidth="1"/>
  </cols>
  <sheetData>
    <row r="1" spans="1:18" ht="52" customHeight="1" x14ac:dyDescent="0.2">
      <c r="A1" s="70" t="s">
        <v>0</v>
      </c>
      <c r="B1" s="26" t="s">
        <v>1</v>
      </c>
      <c r="C1" s="26" t="s">
        <v>2</v>
      </c>
      <c r="D1" s="26" t="s">
        <v>3</v>
      </c>
      <c r="E1" s="25" t="s">
        <v>4</v>
      </c>
      <c r="F1" s="22" t="s">
        <v>5</v>
      </c>
      <c r="G1" s="69" t="s">
        <v>6</v>
      </c>
      <c r="H1" s="21" t="s">
        <v>7</v>
      </c>
      <c r="I1" s="83" t="s">
        <v>924</v>
      </c>
      <c r="J1" s="21" t="s">
        <v>8</v>
      </c>
      <c r="K1" s="38" t="s">
        <v>9</v>
      </c>
      <c r="L1" s="33" t="s">
        <v>10</v>
      </c>
      <c r="M1" s="2" t="s">
        <v>11</v>
      </c>
      <c r="N1" s="2" t="s">
        <v>989</v>
      </c>
      <c r="O1" s="2" t="s">
        <v>906</v>
      </c>
      <c r="Q1" s="2" t="s">
        <v>1057</v>
      </c>
    </row>
    <row r="2" spans="1:18" x14ac:dyDescent="0.2">
      <c r="A2" s="46">
        <f t="shared" ref="A2:A27" si="0">B2+C2</f>
        <v>2</v>
      </c>
      <c r="B2" s="27">
        <v>1</v>
      </c>
      <c r="C2" s="27">
        <v>1</v>
      </c>
      <c r="E2" s="25">
        <v>766</v>
      </c>
      <c r="F2" s="22" t="s">
        <v>12</v>
      </c>
      <c r="G2" s="29" t="s">
        <v>13</v>
      </c>
      <c r="H2" s="30">
        <v>766</v>
      </c>
      <c r="I2" s="84"/>
      <c r="J2" s="30"/>
      <c r="K2" s="37" t="s">
        <v>14</v>
      </c>
      <c r="L2" s="31" t="s">
        <v>13</v>
      </c>
      <c r="O2" s="1" t="s">
        <v>907</v>
      </c>
      <c r="Q2" t="s">
        <v>907</v>
      </c>
      <c r="R2" t="s">
        <v>949</v>
      </c>
    </row>
    <row r="3" spans="1:18" x14ac:dyDescent="0.2">
      <c r="A3" s="46">
        <f t="shared" si="0"/>
        <v>1</v>
      </c>
      <c r="B3" s="27">
        <v>1</v>
      </c>
      <c r="E3" s="25" t="s">
        <v>15</v>
      </c>
      <c r="F3" s="22" t="s">
        <v>16</v>
      </c>
      <c r="G3" s="29" t="s">
        <v>13</v>
      </c>
      <c r="H3" s="30" t="s">
        <v>13</v>
      </c>
      <c r="I3" s="84"/>
      <c r="J3" s="30"/>
      <c r="K3" s="37" t="s">
        <v>17</v>
      </c>
      <c r="L3" s="31" t="s">
        <v>13</v>
      </c>
      <c r="O3" s="1" t="s">
        <v>907</v>
      </c>
      <c r="Q3" t="s">
        <v>950</v>
      </c>
      <c r="R3" t="s">
        <v>951</v>
      </c>
    </row>
    <row r="4" spans="1:18" x14ac:dyDescent="0.2">
      <c r="A4" s="46">
        <f t="shared" si="0"/>
        <v>1</v>
      </c>
      <c r="B4" s="27">
        <v>1</v>
      </c>
      <c r="E4" s="25" t="s">
        <v>18</v>
      </c>
      <c r="F4" s="22" t="s">
        <v>12</v>
      </c>
      <c r="G4" s="29" t="s">
        <v>13</v>
      </c>
      <c r="H4" s="30" t="s">
        <v>13</v>
      </c>
      <c r="I4" s="84"/>
      <c r="J4" s="30"/>
      <c r="K4" s="37" t="s">
        <v>20</v>
      </c>
      <c r="L4" s="31" t="s">
        <v>13</v>
      </c>
      <c r="O4" s="1" t="s">
        <v>907</v>
      </c>
      <c r="Q4" t="s">
        <v>954</v>
      </c>
      <c r="R4" t="s">
        <v>955</v>
      </c>
    </row>
    <row r="5" spans="1:18" x14ac:dyDescent="0.2">
      <c r="A5" s="46">
        <f t="shared" si="0"/>
        <v>1</v>
      </c>
      <c r="B5" s="27">
        <v>1</v>
      </c>
      <c r="E5" s="25" t="s">
        <v>18</v>
      </c>
      <c r="F5" s="22" t="s">
        <v>19</v>
      </c>
      <c r="G5" s="29" t="s">
        <v>13</v>
      </c>
      <c r="H5" s="30" t="s">
        <v>13</v>
      </c>
      <c r="I5" s="84"/>
      <c r="J5" s="30"/>
      <c r="K5" s="37" t="s">
        <v>17</v>
      </c>
      <c r="L5" s="31" t="s">
        <v>13</v>
      </c>
      <c r="O5" s="1" t="s">
        <v>907</v>
      </c>
      <c r="Q5" t="s">
        <v>952</v>
      </c>
      <c r="R5" t="s">
        <v>953</v>
      </c>
    </row>
    <row r="6" spans="1:18" x14ac:dyDescent="0.2">
      <c r="A6" s="46">
        <f t="shared" si="0"/>
        <v>3</v>
      </c>
      <c r="B6" s="27">
        <v>1</v>
      </c>
      <c r="C6" s="27">
        <v>2</v>
      </c>
      <c r="E6" s="25" t="s">
        <v>21</v>
      </c>
      <c r="F6" s="22" t="s">
        <v>21</v>
      </c>
      <c r="G6" s="29" t="s">
        <v>13</v>
      </c>
      <c r="H6" s="20" t="s">
        <v>13</v>
      </c>
      <c r="I6" s="85"/>
      <c r="J6" s="20"/>
      <c r="K6" s="37" t="s">
        <v>22</v>
      </c>
      <c r="L6" s="32">
        <v>420403</v>
      </c>
      <c r="M6" t="s">
        <v>1198</v>
      </c>
      <c r="N6" s="1" t="s">
        <v>886</v>
      </c>
      <c r="O6" s="1" t="s">
        <v>907</v>
      </c>
      <c r="Q6" t="s">
        <v>913</v>
      </c>
      <c r="R6" t="s">
        <v>956</v>
      </c>
    </row>
    <row r="7" spans="1:18" x14ac:dyDescent="0.2">
      <c r="A7" s="46">
        <f t="shared" si="0"/>
        <v>1</v>
      </c>
      <c r="B7" s="27">
        <v>1</v>
      </c>
      <c r="E7" s="25" t="s">
        <v>23</v>
      </c>
      <c r="F7" s="22" t="s">
        <v>24</v>
      </c>
      <c r="G7" s="29" t="s">
        <v>13</v>
      </c>
      <c r="H7" s="30" t="s">
        <v>13</v>
      </c>
      <c r="I7" s="84"/>
      <c r="J7" s="30"/>
      <c r="K7" s="37" t="s">
        <v>25</v>
      </c>
      <c r="L7" s="31" t="s">
        <v>13</v>
      </c>
      <c r="O7" s="1" t="s">
        <v>907</v>
      </c>
      <c r="Q7" t="s">
        <v>957</v>
      </c>
      <c r="R7" t="s">
        <v>958</v>
      </c>
    </row>
    <row r="8" spans="1:18" x14ac:dyDescent="0.2">
      <c r="A8" s="46">
        <f t="shared" si="0"/>
        <v>2</v>
      </c>
      <c r="B8" s="27">
        <v>1</v>
      </c>
      <c r="C8" s="27">
        <v>1</v>
      </c>
      <c r="E8" s="25" t="s">
        <v>23</v>
      </c>
      <c r="F8" s="22" t="s">
        <v>26</v>
      </c>
      <c r="G8" s="29" t="s">
        <v>13</v>
      </c>
      <c r="H8" s="30" t="s">
        <v>13</v>
      </c>
      <c r="I8" s="84"/>
      <c r="J8" s="30"/>
      <c r="K8" s="37" t="s">
        <v>17</v>
      </c>
      <c r="L8" s="31" t="s">
        <v>13</v>
      </c>
      <c r="O8" s="1" t="s">
        <v>907</v>
      </c>
      <c r="Q8" t="s">
        <v>981</v>
      </c>
      <c r="R8" t="s">
        <v>982</v>
      </c>
    </row>
    <row r="9" spans="1:18" x14ac:dyDescent="0.2">
      <c r="A9" s="46">
        <f t="shared" si="0"/>
        <v>10</v>
      </c>
      <c r="B9" s="27">
        <v>1</v>
      </c>
      <c r="C9" s="27">
        <v>9</v>
      </c>
      <c r="E9" s="25" t="s">
        <v>23</v>
      </c>
      <c r="F9" s="22" t="s">
        <v>27</v>
      </c>
      <c r="G9" s="29" t="s">
        <v>13</v>
      </c>
      <c r="H9" s="30" t="s">
        <v>28</v>
      </c>
      <c r="I9" s="84"/>
      <c r="J9" s="30"/>
      <c r="K9" s="37" t="s">
        <v>25</v>
      </c>
      <c r="L9" s="31" t="s">
        <v>13</v>
      </c>
      <c r="O9" s="1" t="s">
        <v>907</v>
      </c>
      <c r="Q9" t="s">
        <v>985</v>
      </c>
      <c r="R9" t="s">
        <v>986</v>
      </c>
    </row>
    <row r="10" spans="1:18" x14ac:dyDescent="0.2">
      <c r="A10" s="46">
        <f t="shared" si="0"/>
        <v>1</v>
      </c>
      <c r="B10" s="27">
        <v>1</v>
      </c>
      <c r="E10" s="25" t="s">
        <v>29</v>
      </c>
      <c r="F10" s="22" t="s">
        <v>57</v>
      </c>
      <c r="G10" s="29"/>
      <c r="H10" s="30"/>
      <c r="I10" s="84"/>
      <c r="J10" s="30"/>
      <c r="K10" s="37" t="s">
        <v>22</v>
      </c>
      <c r="L10" s="31">
        <v>640912</v>
      </c>
      <c r="O10" s="1" t="s">
        <v>907</v>
      </c>
      <c r="Q10" t="s">
        <v>1010</v>
      </c>
      <c r="R10" t="s">
        <v>1011</v>
      </c>
    </row>
    <row r="11" spans="1:18" x14ac:dyDescent="0.2">
      <c r="A11" s="46">
        <f t="shared" si="0"/>
        <v>2</v>
      </c>
      <c r="B11" s="27">
        <v>1</v>
      </c>
      <c r="C11" s="27">
        <v>1</v>
      </c>
      <c r="E11" s="25" t="s">
        <v>29</v>
      </c>
      <c r="F11" s="22" t="s">
        <v>32</v>
      </c>
      <c r="G11" s="29" t="s">
        <v>13</v>
      </c>
      <c r="H11" s="30" t="s">
        <v>13</v>
      </c>
      <c r="I11" s="84"/>
      <c r="J11" s="30"/>
      <c r="K11" s="37" t="s">
        <v>31</v>
      </c>
      <c r="L11" s="31">
        <v>563974</v>
      </c>
      <c r="O11" s="1" t="s">
        <v>907</v>
      </c>
      <c r="Q11" t="s">
        <v>996</v>
      </c>
      <c r="R11" t="s">
        <v>997</v>
      </c>
    </row>
    <row r="12" spans="1:18" x14ac:dyDescent="0.2">
      <c r="A12" s="46">
        <f t="shared" si="0"/>
        <v>1</v>
      </c>
      <c r="B12" s="27">
        <v>1</v>
      </c>
      <c r="E12" s="25" t="s">
        <v>29</v>
      </c>
      <c r="F12" s="22" t="s">
        <v>30</v>
      </c>
      <c r="G12" s="29" t="s">
        <v>13</v>
      </c>
      <c r="H12" s="30" t="s">
        <v>13</v>
      </c>
      <c r="I12" s="84"/>
      <c r="J12" s="30"/>
      <c r="K12" s="37" t="s">
        <v>31</v>
      </c>
      <c r="L12" s="31">
        <v>556419</v>
      </c>
      <c r="O12" s="1" t="s">
        <v>907</v>
      </c>
      <c r="Q12" t="s">
        <v>987</v>
      </c>
      <c r="R12" t="s">
        <v>988</v>
      </c>
    </row>
    <row r="13" spans="1:18" x14ac:dyDescent="0.2">
      <c r="A13" s="46">
        <f t="shared" si="0"/>
        <v>1</v>
      </c>
      <c r="B13" s="27">
        <v>1</v>
      </c>
      <c r="E13" s="25" t="s">
        <v>1077</v>
      </c>
      <c r="F13" s="22" t="s">
        <v>1079</v>
      </c>
      <c r="G13" s="29" t="s">
        <v>1080</v>
      </c>
      <c r="H13" s="30"/>
      <c r="I13" s="84" t="s">
        <v>1078</v>
      </c>
      <c r="J13" s="30"/>
      <c r="K13" s="37" t="s">
        <v>22</v>
      </c>
      <c r="L13" s="31">
        <v>427402</v>
      </c>
      <c r="M13" s="2" t="s">
        <v>1003</v>
      </c>
      <c r="O13" s="1" t="s">
        <v>1081</v>
      </c>
      <c r="Q13" t="s">
        <v>1082</v>
      </c>
      <c r="R13" t="s">
        <v>1083</v>
      </c>
    </row>
    <row r="14" spans="1:18" x14ac:dyDescent="0.2">
      <c r="A14" s="46">
        <f t="shared" si="0"/>
        <v>1</v>
      </c>
      <c r="B14" s="27">
        <v>1</v>
      </c>
      <c r="E14" s="25" t="s">
        <v>1097</v>
      </c>
      <c r="F14" s="22" t="s">
        <v>1098</v>
      </c>
      <c r="G14" s="29"/>
      <c r="H14" s="30"/>
      <c r="I14" s="84"/>
      <c r="J14" s="30"/>
      <c r="K14" s="37" t="s">
        <v>236</v>
      </c>
      <c r="L14" s="31" t="s">
        <v>1099</v>
      </c>
      <c r="M14" s="2" t="s">
        <v>1003</v>
      </c>
      <c r="O14" s="1" t="s">
        <v>1100</v>
      </c>
      <c r="Q14" t="s">
        <v>1039</v>
      </c>
      <c r="R14" t="s">
        <v>1039</v>
      </c>
    </row>
    <row r="15" spans="1:18" ht="17" x14ac:dyDescent="0.2">
      <c r="A15" s="46">
        <f t="shared" si="0"/>
        <v>1</v>
      </c>
      <c r="B15" s="27">
        <v>1</v>
      </c>
      <c r="E15" s="25" t="s">
        <v>869</v>
      </c>
      <c r="F15" s="22" t="s">
        <v>139</v>
      </c>
      <c r="G15" s="29" t="s">
        <v>1212</v>
      </c>
      <c r="H15" s="30" t="s">
        <v>1210</v>
      </c>
      <c r="I15" s="84" t="s">
        <v>1213</v>
      </c>
      <c r="J15" s="107" t="s">
        <v>1214</v>
      </c>
      <c r="K15" s="37" t="s">
        <v>48</v>
      </c>
      <c r="L15" s="31" t="s">
        <v>1216</v>
      </c>
      <c r="M15" s="2"/>
      <c r="O15" s="1" t="s">
        <v>907</v>
      </c>
    </row>
    <row r="16" spans="1:18" ht="17" x14ac:dyDescent="0.2">
      <c r="A16" s="46">
        <f t="shared" si="0"/>
        <v>1</v>
      </c>
      <c r="B16" s="27">
        <v>1</v>
      </c>
      <c r="E16" s="25" t="s">
        <v>869</v>
      </c>
      <c r="F16" s="22" t="s">
        <v>42</v>
      </c>
      <c r="G16" s="29" t="s">
        <v>1212</v>
      </c>
      <c r="H16" s="30" t="s">
        <v>1210</v>
      </c>
      <c r="I16" s="84" t="s">
        <v>1213</v>
      </c>
      <c r="J16" s="107" t="s">
        <v>1214</v>
      </c>
      <c r="K16" s="37" t="s">
        <v>48</v>
      </c>
      <c r="L16" s="31" t="s">
        <v>1215</v>
      </c>
      <c r="M16" s="2"/>
      <c r="O16" s="1" t="s">
        <v>907</v>
      </c>
    </row>
    <row r="17" spans="1:18" ht="17" x14ac:dyDescent="0.2">
      <c r="A17" s="46">
        <f t="shared" si="0"/>
        <v>1</v>
      </c>
      <c r="B17" s="27">
        <v>1</v>
      </c>
      <c r="E17" s="25" t="s">
        <v>869</v>
      </c>
      <c r="F17" s="22" t="s">
        <v>106</v>
      </c>
      <c r="G17" s="29" t="s">
        <v>1212</v>
      </c>
      <c r="H17" s="30" t="s">
        <v>1210</v>
      </c>
      <c r="I17" s="84" t="s">
        <v>1213</v>
      </c>
      <c r="J17" s="107" t="s">
        <v>1214</v>
      </c>
      <c r="K17" s="37" t="s">
        <v>48</v>
      </c>
      <c r="L17" s="31" t="s">
        <v>1211</v>
      </c>
      <c r="M17" s="2"/>
      <c r="O17" s="1" t="s">
        <v>907</v>
      </c>
    </row>
    <row r="18" spans="1:18" x14ac:dyDescent="0.2">
      <c r="A18" s="46">
        <f t="shared" si="0"/>
        <v>1</v>
      </c>
      <c r="B18" s="27">
        <v>1</v>
      </c>
      <c r="E18" s="25" t="s">
        <v>1206</v>
      </c>
      <c r="F18" s="22" t="s">
        <v>33</v>
      </c>
      <c r="G18" s="29" t="s">
        <v>13</v>
      </c>
      <c r="H18" s="20" t="s">
        <v>34</v>
      </c>
      <c r="I18" s="85"/>
      <c r="J18" s="20"/>
      <c r="K18" s="37" t="s">
        <v>35</v>
      </c>
      <c r="L18" s="32" t="s">
        <v>36</v>
      </c>
      <c r="O18" s="1" t="s">
        <v>907</v>
      </c>
      <c r="Q18" t="s">
        <v>1049</v>
      </c>
      <c r="R18" t="s">
        <v>1049</v>
      </c>
    </row>
    <row r="19" spans="1:18" x14ac:dyDescent="0.2">
      <c r="A19" s="46">
        <f t="shared" si="0"/>
        <v>2</v>
      </c>
      <c r="B19" s="27">
        <v>1</v>
      </c>
      <c r="C19" s="27">
        <v>1</v>
      </c>
      <c r="E19" s="25" t="s">
        <v>1205</v>
      </c>
      <c r="F19" s="22" t="s">
        <v>42</v>
      </c>
      <c r="G19" s="29" t="s">
        <v>1144</v>
      </c>
      <c r="H19" s="30" t="s">
        <v>1142</v>
      </c>
      <c r="I19" s="84" t="s">
        <v>1143</v>
      </c>
      <c r="J19" s="30" t="s">
        <v>923</v>
      </c>
      <c r="K19" s="37" t="s">
        <v>22</v>
      </c>
      <c r="L19" s="31">
        <v>358505</v>
      </c>
      <c r="M19" s="2"/>
      <c r="O19" s="1" t="s">
        <v>907</v>
      </c>
    </row>
    <row r="20" spans="1:18" x14ac:dyDescent="0.2">
      <c r="A20" s="46">
        <f t="shared" si="0"/>
        <v>1</v>
      </c>
      <c r="B20" s="27">
        <v>1</v>
      </c>
      <c r="E20" s="25" t="s">
        <v>37</v>
      </c>
      <c r="F20" s="22" t="s">
        <v>13</v>
      </c>
      <c r="G20" s="29" t="s">
        <v>38</v>
      </c>
      <c r="H20" s="30" t="s">
        <v>13</v>
      </c>
      <c r="I20" s="84"/>
      <c r="J20" s="30"/>
      <c r="K20" s="37" t="s">
        <v>39</v>
      </c>
      <c r="L20" s="31" t="s">
        <v>40</v>
      </c>
      <c r="O20" s="1" t="s">
        <v>907</v>
      </c>
      <c r="Q20" t="s">
        <v>1055</v>
      </c>
      <c r="R20" t="s">
        <v>1056</v>
      </c>
    </row>
    <row r="21" spans="1:18" x14ac:dyDescent="0.2">
      <c r="A21" s="47">
        <f t="shared" si="0"/>
        <v>1</v>
      </c>
      <c r="B21" s="27">
        <v>1</v>
      </c>
      <c r="E21" s="25" t="s">
        <v>909</v>
      </c>
      <c r="F21" s="81" t="s">
        <v>57</v>
      </c>
      <c r="G21" s="29"/>
      <c r="H21" s="82" t="s">
        <v>911</v>
      </c>
      <c r="I21" s="86"/>
      <c r="J21" s="30" t="s">
        <v>910</v>
      </c>
      <c r="K21" s="43" t="s">
        <v>22</v>
      </c>
      <c r="L21" s="31">
        <v>150004</v>
      </c>
      <c r="O21" s="1" t="s">
        <v>907</v>
      </c>
      <c r="Q21" t="s">
        <v>1107</v>
      </c>
    </row>
    <row r="22" spans="1:18" x14ac:dyDescent="0.2">
      <c r="A22" s="46">
        <f t="shared" si="0"/>
        <v>2</v>
      </c>
      <c r="B22" s="27">
        <v>1</v>
      </c>
      <c r="C22" s="27">
        <v>1</v>
      </c>
      <c r="E22" s="25" t="s">
        <v>41</v>
      </c>
      <c r="F22" s="22" t="s">
        <v>42</v>
      </c>
      <c r="G22" s="29" t="s">
        <v>13</v>
      </c>
      <c r="H22" s="20" t="s">
        <v>43</v>
      </c>
      <c r="I22" s="85"/>
      <c r="J22" s="20"/>
      <c r="K22" s="37" t="s">
        <v>22</v>
      </c>
      <c r="L22" s="32">
        <v>364114</v>
      </c>
      <c r="N22" s="4" t="s">
        <v>900</v>
      </c>
      <c r="O22" s="1" t="s">
        <v>907</v>
      </c>
    </row>
    <row r="23" spans="1:18" x14ac:dyDescent="0.2">
      <c r="A23" s="46">
        <f t="shared" si="0"/>
        <v>1</v>
      </c>
      <c r="B23" s="27">
        <v>1</v>
      </c>
      <c r="E23" s="25" t="s">
        <v>41</v>
      </c>
      <c r="F23" s="22" t="s">
        <v>42</v>
      </c>
      <c r="G23" s="29" t="s">
        <v>13</v>
      </c>
      <c r="H23" s="30" t="s">
        <v>13</v>
      </c>
      <c r="I23" s="84"/>
      <c r="J23" s="30"/>
      <c r="K23" s="37" t="s">
        <v>31</v>
      </c>
      <c r="L23" s="31" t="s">
        <v>45</v>
      </c>
      <c r="O23" s="1" t="s">
        <v>907</v>
      </c>
    </row>
    <row r="24" spans="1:18" x14ac:dyDescent="0.2">
      <c r="A24" s="46">
        <f t="shared" si="0"/>
        <v>1</v>
      </c>
      <c r="B24" s="27">
        <v>1</v>
      </c>
      <c r="E24" s="25" t="s">
        <v>41</v>
      </c>
      <c r="F24" s="22" t="s">
        <v>27</v>
      </c>
      <c r="G24" s="29" t="s">
        <v>13</v>
      </c>
      <c r="H24" s="20" t="s">
        <v>44</v>
      </c>
      <c r="I24" s="85"/>
      <c r="J24" s="20"/>
      <c r="K24" s="37" t="s">
        <v>22</v>
      </c>
      <c r="L24" s="32">
        <v>317904</v>
      </c>
      <c r="O24" s="1" t="s">
        <v>907</v>
      </c>
    </row>
    <row r="25" spans="1:18" x14ac:dyDescent="0.2">
      <c r="A25" s="46">
        <f t="shared" si="0"/>
        <v>1</v>
      </c>
      <c r="B25" s="27">
        <v>1</v>
      </c>
      <c r="E25" s="25" t="s">
        <v>41</v>
      </c>
      <c r="F25" s="22" t="s">
        <v>901</v>
      </c>
      <c r="G25" s="29"/>
      <c r="H25" s="30"/>
      <c r="I25" s="84"/>
      <c r="J25" s="30" t="s">
        <v>1103</v>
      </c>
      <c r="K25" s="37" t="s">
        <v>203</v>
      </c>
      <c r="L25" s="31">
        <v>347580</v>
      </c>
      <c r="O25" s="1" t="s">
        <v>907</v>
      </c>
    </row>
    <row r="26" spans="1:18" x14ac:dyDescent="0.2">
      <c r="A26" s="46">
        <f t="shared" si="0"/>
        <v>5</v>
      </c>
      <c r="C26" s="27">
        <v>5</v>
      </c>
      <c r="E26" s="25" t="s">
        <v>1104</v>
      </c>
      <c r="F26" s="22"/>
      <c r="G26" s="29"/>
      <c r="H26" s="30"/>
      <c r="I26" s="84"/>
      <c r="J26" s="30"/>
      <c r="K26" s="37" t="s">
        <v>22</v>
      </c>
      <c r="L26" s="31">
        <v>423401</v>
      </c>
      <c r="M26" s="1" t="s">
        <v>1105</v>
      </c>
      <c r="O26" s="1" t="s">
        <v>907</v>
      </c>
    </row>
    <row r="27" spans="1:18" x14ac:dyDescent="0.2">
      <c r="A27" s="46">
        <f t="shared" si="0"/>
        <v>1</v>
      </c>
      <c r="B27" s="27">
        <v>1</v>
      </c>
      <c r="E27" s="2" t="s">
        <v>46</v>
      </c>
      <c r="F27" s="75" t="s">
        <v>27</v>
      </c>
      <c r="H27" s="11" t="s">
        <v>47</v>
      </c>
      <c r="I27" s="87"/>
      <c r="J27" s="11"/>
      <c r="K27" s="39" t="s">
        <v>48</v>
      </c>
      <c r="L27" s="34" t="s">
        <v>49</v>
      </c>
      <c r="O27" s="1" t="s">
        <v>907</v>
      </c>
    </row>
    <row r="28" spans="1:18" x14ac:dyDescent="0.2">
      <c r="A28" s="46">
        <v>1</v>
      </c>
      <c r="B28" s="27">
        <v>1</v>
      </c>
      <c r="E28" s="2" t="s">
        <v>46</v>
      </c>
      <c r="F28" s="75" t="s">
        <v>961</v>
      </c>
      <c r="H28" s="9" t="s">
        <v>47</v>
      </c>
      <c r="I28" s="88" t="s">
        <v>1165</v>
      </c>
      <c r="J28" s="19"/>
      <c r="K28" s="39" t="s">
        <v>203</v>
      </c>
      <c r="L28" s="34">
        <v>749393</v>
      </c>
      <c r="M28" t="s">
        <v>1236</v>
      </c>
      <c r="N28" s="1">
        <v>200</v>
      </c>
      <c r="O28" s="1"/>
    </row>
    <row r="29" spans="1:18" x14ac:dyDescent="0.2">
      <c r="A29" s="46">
        <f t="shared" ref="A29:A60" si="1">B29+C29</f>
        <v>2</v>
      </c>
      <c r="B29" s="27">
        <v>1</v>
      </c>
      <c r="C29" s="27">
        <v>1</v>
      </c>
      <c r="E29" s="2" t="s">
        <v>46</v>
      </c>
      <c r="F29" s="22" t="s">
        <v>32</v>
      </c>
      <c r="G29" s="29"/>
      <c r="H29" s="11" t="s">
        <v>47</v>
      </c>
      <c r="I29" s="84"/>
      <c r="J29" s="30"/>
      <c r="K29" s="37" t="s">
        <v>22</v>
      </c>
      <c r="L29" s="31">
        <v>121433</v>
      </c>
      <c r="M29" s="1"/>
      <c r="O29" s="1"/>
    </row>
    <row r="30" spans="1:18" x14ac:dyDescent="0.2">
      <c r="A30" s="46">
        <f t="shared" si="1"/>
        <v>2</v>
      </c>
      <c r="B30" s="27">
        <v>1</v>
      </c>
      <c r="C30" s="27">
        <v>1</v>
      </c>
      <c r="E30" s="2" t="s">
        <v>46</v>
      </c>
      <c r="F30" s="75" t="s">
        <v>30</v>
      </c>
      <c r="H30" s="9" t="s">
        <v>47</v>
      </c>
      <c r="I30" s="88"/>
      <c r="J30" s="19"/>
      <c r="K30" s="39" t="s">
        <v>22</v>
      </c>
      <c r="L30" s="34">
        <v>121420</v>
      </c>
      <c r="O30" s="1" t="s">
        <v>907</v>
      </c>
    </row>
    <row r="31" spans="1:18" x14ac:dyDescent="0.2">
      <c r="A31" s="46">
        <f t="shared" si="1"/>
        <v>3</v>
      </c>
      <c r="B31" s="27">
        <v>1</v>
      </c>
      <c r="C31" s="27">
        <v>2</v>
      </c>
      <c r="E31" s="2" t="s">
        <v>46</v>
      </c>
      <c r="F31" s="75" t="s">
        <v>33</v>
      </c>
      <c r="H31" s="11" t="s">
        <v>47</v>
      </c>
      <c r="I31" s="87"/>
      <c r="J31" s="11"/>
      <c r="K31" s="39" t="s">
        <v>48</v>
      </c>
      <c r="L31" s="34" t="s">
        <v>893</v>
      </c>
      <c r="M31" t="s">
        <v>1157</v>
      </c>
      <c r="N31" s="1" t="s">
        <v>889</v>
      </c>
      <c r="O31" s="1" t="s">
        <v>907</v>
      </c>
    </row>
    <row r="32" spans="1:18" x14ac:dyDescent="0.2">
      <c r="A32" s="46">
        <f t="shared" si="1"/>
        <v>3</v>
      </c>
      <c r="B32" s="27">
        <v>1</v>
      </c>
      <c r="C32" s="27">
        <v>2</v>
      </c>
      <c r="E32" s="2" t="s">
        <v>50</v>
      </c>
      <c r="F32" s="75" t="s">
        <v>12</v>
      </c>
      <c r="H32" s="6" t="s">
        <v>55</v>
      </c>
      <c r="I32" s="89" t="s">
        <v>920</v>
      </c>
      <c r="J32" s="6" t="s">
        <v>923</v>
      </c>
      <c r="K32" s="39" t="s">
        <v>22</v>
      </c>
      <c r="L32" s="34">
        <v>120404</v>
      </c>
      <c r="N32" s="1" t="s">
        <v>889</v>
      </c>
      <c r="O32" s="1" t="s">
        <v>907</v>
      </c>
    </row>
    <row r="33" spans="1:15" x14ac:dyDescent="0.2">
      <c r="A33" s="46">
        <f t="shared" si="1"/>
        <v>1</v>
      </c>
      <c r="B33" s="27">
        <v>1</v>
      </c>
      <c r="E33" s="2" t="s">
        <v>50</v>
      </c>
      <c r="F33" s="75" t="s">
        <v>51</v>
      </c>
      <c r="G33" s="5" t="s">
        <v>52</v>
      </c>
      <c r="H33" s="10" t="s">
        <v>53</v>
      </c>
      <c r="I33" s="89" t="s">
        <v>920</v>
      </c>
      <c r="J33" s="6" t="s">
        <v>923</v>
      </c>
      <c r="K33" s="39" t="s">
        <v>22</v>
      </c>
      <c r="L33" s="34">
        <v>120412</v>
      </c>
      <c r="M33" t="s">
        <v>1157</v>
      </c>
      <c r="N33" s="1" t="s">
        <v>889</v>
      </c>
      <c r="O33" s="1" t="s">
        <v>907</v>
      </c>
    </row>
    <row r="34" spans="1:15" x14ac:dyDescent="0.2">
      <c r="A34" s="46">
        <f t="shared" si="1"/>
        <v>1</v>
      </c>
      <c r="B34" s="27">
        <v>1</v>
      </c>
      <c r="E34" s="2" t="s">
        <v>50</v>
      </c>
      <c r="F34" s="75" t="s">
        <v>33</v>
      </c>
      <c r="H34" s="6" t="s">
        <v>53</v>
      </c>
      <c r="I34" s="89" t="s">
        <v>920</v>
      </c>
      <c r="J34" s="6" t="s">
        <v>923</v>
      </c>
      <c r="K34" s="39" t="s">
        <v>54</v>
      </c>
      <c r="L34" s="34">
        <v>120408</v>
      </c>
      <c r="O34" s="1" t="s">
        <v>907</v>
      </c>
    </row>
    <row r="35" spans="1:15" x14ac:dyDescent="0.2">
      <c r="A35" s="46">
        <f t="shared" si="1"/>
        <v>1</v>
      </c>
      <c r="B35" s="27">
        <v>1</v>
      </c>
      <c r="E35" s="2" t="s">
        <v>56</v>
      </c>
      <c r="F35" s="75" t="s">
        <v>57</v>
      </c>
      <c r="G35" s="5" t="s">
        <v>1044</v>
      </c>
      <c r="H35" s="6">
        <v>429</v>
      </c>
      <c r="I35" s="89" t="s">
        <v>920</v>
      </c>
      <c r="J35" s="6" t="s">
        <v>923</v>
      </c>
      <c r="K35" s="39" t="s">
        <v>22</v>
      </c>
      <c r="L35" s="34">
        <v>105711</v>
      </c>
      <c r="O35" s="1" t="s">
        <v>1045</v>
      </c>
    </row>
    <row r="36" spans="1:15" x14ac:dyDescent="0.2">
      <c r="A36" s="46">
        <f t="shared" si="1"/>
        <v>1</v>
      </c>
      <c r="B36" s="27">
        <v>1</v>
      </c>
      <c r="E36" s="2" t="s">
        <v>56</v>
      </c>
      <c r="F36" s="75" t="s">
        <v>12</v>
      </c>
      <c r="H36" s="6">
        <v>429</v>
      </c>
      <c r="K36" s="39" t="s">
        <v>22</v>
      </c>
      <c r="L36" s="34">
        <v>105704</v>
      </c>
      <c r="O36" s="1" t="s">
        <v>907</v>
      </c>
    </row>
    <row r="37" spans="1:15" x14ac:dyDescent="0.2">
      <c r="A37" s="46">
        <f t="shared" si="1"/>
        <v>0</v>
      </c>
      <c r="D37" s="27">
        <v>1</v>
      </c>
      <c r="E37" s="2" t="s">
        <v>58</v>
      </c>
      <c r="F37" s="75" t="s">
        <v>33</v>
      </c>
      <c r="H37" s="6" t="s">
        <v>59</v>
      </c>
      <c r="K37" s="39" t="s">
        <v>48</v>
      </c>
      <c r="L37" s="34" t="s">
        <v>60</v>
      </c>
      <c r="O37" s="1" t="s">
        <v>907</v>
      </c>
    </row>
    <row r="38" spans="1:15" x14ac:dyDescent="0.2">
      <c r="A38" s="46">
        <f t="shared" si="1"/>
        <v>1</v>
      </c>
      <c r="B38" s="27">
        <v>1</v>
      </c>
      <c r="E38" s="2" t="s">
        <v>61</v>
      </c>
      <c r="F38" s="75" t="s">
        <v>26</v>
      </c>
      <c r="K38" s="39" t="s">
        <v>17</v>
      </c>
      <c r="O38" s="1" t="s">
        <v>907</v>
      </c>
    </row>
    <row r="39" spans="1:15" x14ac:dyDescent="0.2">
      <c r="A39" s="46">
        <f t="shared" si="1"/>
        <v>2</v>
      </c>
      <c r="B39" s="27">
        <v>1</v>
      </c>
      <c r="C39" s="27">
        <v>1</v>
      </c>
      <c r="E39" s="2" t="s">
        <v>61</v>
      </c>
      <c r="F39" s="75" t="s">
        <v>27</v>
      </c>
      <c r="G39" s="5" t="s">
        <v>1111</v>
      </c>
      <c r="H39" s="6" t="s">
        <v>64</v>
      </c>
      <c r="I39" s="89" t="s">
        <v>920</v>
      </c>
      <c r="J39" s="6" t="s">
        <v>923</v>
      </c>
      <c r="K39" s="39" t="s">
        <v>22</v>
      </c>
      <c r="L39" s="34">
        <v>135508</v>
      </c>
      <c r="N39" s="1" t="s">
        <v>891</v>
      </c>
      <c r="O39" s="1" t="s">
        <v>907</v>
      </c>
    </row>
    <row r="40" spans="1:15" x14ac:dyDescent="0.2">
      <c r="A40" s="46">
        <f t="shared" si="1"/>
        <v>1</v>
      </c>
      <c r="B40" s="27">
        <v>1</v>
      </c>
      <c r="E40" s="2" t="s">
        <v>61</v>
      </c>
      <c r="F40" s="75" t="s">
        <v>27</v>
      </c>
      <c r="G40" s="5" t="s">
        <v>63</v>
      </c>
      <c r="H40" s="10" t="s">
        <v>64</v>
      </c>
      <c r="I40" s="89"/>
      <c r="J40" s="10"/>
      <c r="K40" s="39" t="s">
        <v>72</v>
      </c>
      <c r="O40" s="1" t="s">
        <v>907</v>
      </c>
    </row>
    <row r="41" spans="1:15" x14ac:dyDescent="0.2">
      <c r="A41" s="46">
        <f t="shared" si="1"/>
        <v>2</v>
      </c>
      <c r="B41" s="27">
        <v>1</v>
      </c>
      <c r="C41" s="27">
        <v>1</v>
      </c>
      <c r="E41" s="2" t="s">
        <v>61</v>
      </c>
      <c r="F41" s="75" t="s">
        <v>66</v>
      </c>
      <c r="G41" s="5" t="s">
        <v>1111</v>
      </c>
      <c r="H41" s="6" t="s">
        <v>67</v>
      </c>
      <c r="I41" s="89" t="s">
        <v>920</v>
      </c>
      <c r="J41" s="6" t="s">
        <v>923</v>
      </c>
      <c r="K41" s="39" t="s">
        <v>22</v>
      </c>
      <c r="L41" s="34">
        <v>135517</v>
      </c>
      <c r="M41" t="s">
        <v>1158</v>
      </c>
      <c r="N41" s="1" t="s">
        <v>81</v>
      </c>
      <c r="O41" s="1" t="s">
        <v>907</v>
      </c>
    </row>
    <row r="42" spans="1:15" x14ac:dyDescent="0.2">
      <c r="A42" s="46">
        <f t="shared" si="1"/>
        <v>2</v>
      </c>
      <c r="B42" s="27">
        <v>1</v>
      </c>
      <c r="C42" s="27">
        <v>1</v>
      </c>
      <c r="E42" s="2" t="s">
        <v>61</v>
      </c>
      <c r="F42" s="75" t="s">
        <v>68</v>
      </c>
      <c r="G42" s="5" t="s">
        <v>1111</v>
      </c>
      <c r="H42" s="6" t="s">
        <v>67</v>
      </c>
      <c r="I42" s="89" t="s">
        <v>920</v>
      </c>
      <c r="J42" s="6" t="s">
        <v>923</v>
      </c>
      <c r="K42" s="39" t="s">
        <v>22</v>
      </c>
      <c r="L42" s="34">
        <v>135515</v>
      </c>
      <c r="O42" s="1" t="s">
        <v>907</v>
      </c>
    </row>
    <row r="43" spans="1:15" x14ac:dyDescent="0.2">
      <c r="A43" s="46">
        <f t="shared" si="1"/>
        <v>3</v>
      </c>
      <c r="B43" s="27">
        <v>1</v>
      </c>
      <c r="C43" s="27">
        <v>2</v>
      </c>
      <c r="E43" s="2" t="s">
        <v>61</v>
      </c>
      <c r="F43" s="75" t="s">
        <v>33</v>
      </c>
      <c r="G43" s="5" t="s">
        <v>1111</v>
      </c>
      <c r="H43" s="6" t="s">
        <v>67</v>
      </c>
      <c r="I43" s="89" t="s">
        <v>920</v>
      </c>
      <c r="J43" s="6" t="s">
        <v>923</v>
      </c>
      <c r="K43" s="39" t="s">
        <v>22</v>
      </c>
      <c r="L43" s="34">
        <v>135506</v>
      </c>
      <c r="N43" s="1" t="s">
        <v>891</v>
      </c>
      <c r="O43" s="1" t="s">
        <v>907</v>
      </c>
    </row>
    <row r="44" spans="1:15" x14ac:dyDescent="0.2">
      <c r="A44" s="46">
        <f t="shared" si="1"/>
        <v>3</v>
      </c>
      <c r="B44" s="27">
        <v>1</v>
      </c>
      <c r="C44" s="27">
        <v>2</v>
      </c>
      <c r="E44" s="2" t="s">
        <v>61</v>
      </c>
      <c r="F44" s="75" t="s">
        <v>33</v>
      </c>
      <c r="G44" s="5" t="s">
        <v>1111</v>
      </c>
      <c r="H44" s="6" t="s">
        <v>64</v>
      </c>
      <c r="K44" s="39" t="s">
        <v>48</v>
      </c>
      <c r="L44" s="34" t="s">
        <v>69</v>
      </c>
      <c r="O44" s="1" t="s">
        <v>907</v>
      </c>
    </row>
    <row r="45" spans="1:15" x14ac:dyDescent="0.2">
      <c r="A45" s="46">
        <f t="shared" si="1"/>
        <v>1</v>
      </c>
      <c r="B45" s="27">
        <v>1</v>
      </c>
      <c r="E45" s="2" t="s">
        <v>61</v>
      </c>
      <c r="F45" s="75" t="s">
        <v>62</v>
      </c>
      <c r="G45" s="5" t="s">
        <v>63</v>
      </c>
      <c r="H45" s="10" t="s">
        <v>64</v>
      </c>
      <c r="I45" s="89"/>
      <c r="J45" s="10"/>
      <c r="K45" s="39" t="s">
        <v>48</v>
      </c>
      <c r="L45" s="34" t="s">
        <v>65</v>
      </c>
      <c r="M45" t="s">
        <v>1158</v>
      </c>
      <c r="N45" s="1" t="s">
        <v>81</v>
      </c>
      <c r="O45" s="1" t="s">
        <v>907</v>
      </c>
    </row>
    <row r="46" spans="1:15" x14ac:dyDescent="0.2">
      <c r="A46" s="46">
        <f t="shared" si="1"/>
        <v>2</v>
      </c>
      <c r="B46" s="27">
        <v>1</v>
      </c>
      <c r="C46" s="27">
        <v>1</v>
      </c>
      <c r="E46" s="2" t="s">
        <v>61</v>
      </c>
      <c r="F46" s="75" t="s">
        <v>70</v>
      </c>
      <c r="G46" s="109" t="s">
        <v>1111</v>
      </c>
      <c r="H46" s="6" t="s">
        <v>64</v>
      </c>
      <c r="K46" s="39" t="s">
        <v>48</v>
      </c>
      <c r="L46" s="34" t="s">
        <v>71</v>
      </c>
      <c r="O46" s="1" t="s">
        <v>907</v>
      </c>
    </row>
    <row r="47" spans="1:15" x14ac:dyDescent="0.2">
      <c r="A47" s="46">
        <f t="shared" si="1"/>
        <v>2</v>
      </c>
      <c r="B47" s="27">
        <v>1</v>
      </c>
      <c r="C47" s="27">
        <v>1</v>
      </c>
      <c r="E47" s="2" t="s">
        <v>61</v>
      </c>
      <c r="F47" s="75" t="s">
        <v>70</v>
      </c>
      <c r="G47" s="109" t="s">
        <v>1111</v>
      </c>
      <c r="H47" s="6" t="s">
        <v>64</v>
      </c>
      <c r="I47" s="89" t="s">
        <v>920</v>
      </c>
      <c r="K47" s="39" t="s">
        <v>22</v>
      </c>
      <c r="L47" s="34">
        <v>135524</v>
      </c>
      <c r="O47" s="1" t="s">
        <v>907</v>
      </c>
    </row>
    <row r="48" spans="1:15" x14ac:dyDescent="0.2">
      <c r="A48" s="46">
        <f t="shared" si="1"/>
        <v>1</v>
      </c>
      <c r="B48" s="27">
        <v>1</v>
      </c>
      <c r="E48" s="2" t="s">
        <v>73</v>
      </c>
      <c r="F48" s="75" t="s">
        <v>26</v>
      </c>
      <c r="G48" s="5" t="s">
        <v>930</v>
      </c>
      <c r="K48" s="39" t="s">
        <v>17</v>
      </c>
      <c r="O48" s="1" t="s">
        <v>908</v>
      </c>
    </row>
    <row r="49" spans="1:15" x14ac:dyDescent="0.2">
      <c r="A49" s="46">
        <f t="shared" si="1"/>
        <v>1</v>
      </c>
      <c r="B49" s="27">
        <v>1</v>
      </c>
      <c r="E49" s="2" t="s">
        <v>73</v>
      </c>
      <c r="F49" s="75" t="s">
        <v>267</v>
      </c>
      <c r="G49" s="5" t="s">
        <v>930</v>
      </c>
      <c r="H49" s="10" t="s">
        <v>75</v>
      </c>
      <c r="I49" s="89" t="s">
        <v>920</v>
      </c>
      <c r="J49" s="10" t="s">
        <v>931</v>
      </c>
      <c r="K49" s="39" t="s">
        <v>22</v>
      </c>
      <c r="L49" s="34">
        <v>105831</v>
      </c>
      <c r="O49" s="1" t="s">
        <v>913</v>
      </c>
    </row>
    <row r="50" spans="1:15" x14ac:dyDescent="0.2">
      <c r="A50" s="46">
        <f t="shared" si="1"/>
        <v>1</v>
      </c>
      <c r="B50" s="27">
        <v>1</v>
      </c>
      <c r="E50" s="2" t="s">
        <v>73</v>
      </c>
      <c r="F50" s="75" t="s">
        <v>57</v>
      </c>
      <c r="G50" s="5" t="s">
        <v>930</v>
      </c>
      <c r="H50" s="10" t="s">
        <v>75</v>
      </c>
      <c r="I50" s="89" t="s">
        <v>920</v>
      </c>
      <c r="J50" s="10" t="s">
        <v>931</v>
      </c>
      <c r="K50" s="39" t="s">
        <v>22</v>
      </c>
      <c r="L50" s="34">
        <v>105817</v>
      </c>
      <c r="O50" s="1" t="s">
        <v>908</v>
      </c>
    </row>
    <row r="51" spans="1:15" x14ac:dyDescent="0.2">
      <c r="A51" s="46">
        <f t="shared" si="1"/>
        <v>1</v>
      </c>
      <c r="B51" s="27">
        <v>1</v>
      </c>
      <c r="E51" s="2" t="s">
        <v>73</v>
      </c>
      <c r="F51" s="75" t="s">
        <v>74</v>
      </c>
      <c r="G51" s="5" t="s">
        <v>930</v>
      </c>
      <c r="H51" s="6" t="s">
        <v>75</v>
      </c>
      <c r="I51" s="89" t="s">
        <v>920</v>
      </c>
      <c r="J51" s="10" t="s">
        <v>931</v>
      </c>
      <c r="K51" s="39" t="s">
        <v>22</v>
      </c>
      <c r="L51" s="34">
        <v>105816</v>
      </c>
      <c r="O51" s="1" t="s">
        <v>908</v>
      </c>
    </row>
    <row r="52" spans="1:15" x14ac:dyDescent="0.2">
      <c r="A52" s="46">
        <f t="shared" si="1"/>
        <v>1</v>
      </c>
      <c r="B52" s="27">
        <v>1</v>
      </c>
      <c r="D52" s="27">
        <v>1</v>
      </c>
      <c r="E52" s="2" t="s">
        <v>73</v>
      </c>
      <c r="F52" s="75" t="s">
        <v>42</v>
      </c>
      <c r="G52" s="5" t="s">
        <v>930</v>
      </c>
      <c r="H52" s="10" t="s">
        <v>75</v>
      </c>
      <c r="I52" s="89" t="s">
        <v>920</v>
      </c>
      <c r="J52" s="10" t="s">
        <v>931</v>
      </c>
      <c r="K52" s="39" t="s">
        <v>22</v>
      </c>
      <c r="L52" s="34">
        <v>105812</v>
      </c>
      <c r="M52" s="1" t="s">
        <v>82</v>
      </c>
      <c r="N52" s="1" t="s">
        <v>888</v>
      </c>
      <c r="O52" s="1" t="s">
        <v>907</v>
      </c>
    </row>
    <row r="53" spans="1:15" x14ac:dyDescent="0.2">
      <c r="A53" s="46">
        <f t="shared" si="1"/>
        <v>2</v>
      </c>
      <c r="B53" s="27">
        <v>1</v>
      </c>
      <c r="C53" s="27">
        <v>1</v>
      </c>
      <c r="E53" s="2" t="s">
        <v>73</v>
      </c>
      <c r="F53" s="75" t="s">
        <v>42</v>
      </c>
      <c r="G53" s="5" t="s">
        <v>930</v>
      </c>
      <c r="H53" s="6" t="s">
        <v>75</v>
      </c>
      <c r="K53" s="39" t="s">
        <v>39</v>
      </c>
      <c r="L53" s="34">
        <v>554456</v>
      </c>
      <c r="O53" s="1" t="s">
        <v>907</v>
      </c>
    </row>
    <row r="54" spans="1:15" x14ac:dyDescent="0.2">
      <c r="A54" s="46">
        <f t="shared" si="1"/>
        <v>2</v>
      </c>
      <c r="B54" s="27">
        <v>1</v>
      </c>
      <c r="C54" s="27">
        <v>1</v>
      </c>
      <c r="E54" s="2" t="s">
        <v>73</v>
      </c>
      <c r="F54" s="75" t="s">
        <v>84</v>
      </c>
      <c r="G54" s="5" t="s">
        <v>930</v>
      </c>
      <c r="H54" s="6" t="s">
        <v>75</v>
      </c>
      <c r="I54" s="89" t="s">
        <v>920</v>
      </c>
      <c r="J54" s="10" t="s">
        <v>931</v>
      </c>
      <c r="K54" s="39" t="s">
        <v>22</v>
      </c>
      <c r="L54" s="34">
        <v>105838</v>
      </c>
      <c r="O54" s="1" t="s">
        <v>907</v>
      </c>
    </row>
    <row r="55" spans="1:15" x14ac:dyDescent="0.2">
      <c r="A55" s="46">
        <f t="shared" si="1"/>
        <v>6</v>
      </c>
      <c r="B55" s="27">
        <v>1</v>
      </c>
      <c r="C55" s="27">
        <v>5</v>
      </c>
      <c r="E55" s="2" t="s">
        <v>73</v>
      </c>
      <c r="F55" s="76" t="s">
        <v>83</v>
      </c>
      <c r="G55" s="5" t="s">
        <v>930</v>
      </c>
      <c r="H55" s="10" t="s">
        <v>75</v>
      </c>
      <c r="I55" s="89" t="s">
        <v>920</v>
      </c>
      <c r="J55" s="10" t="s">
        <v>931</v>
      </c>
      <c r="K55" s="48" t="s">
        <v>22</v>
      </c>
      <c r="L55" s="34">
        <v>105826</v>
      </c>
      <c r="N55" s="1" t="s">
        <v>888</v>
      </c>
      <c r="O55" s="1" t="s">
        <v>907</v>
      </c>
    </row>
    <row r="56" spans="1:15" x14ac:dyDescent="0.2">
      <c r="A56" s="46">
        <f t="shared" si="1"/>
        <v>3</v>
      </c>
      <c r="B56" s="27">
        <v>1</v>
      </c>
      <c r="C56" s="27">
        <v>2</v>
      </c>
      <c r="E56" s="2" t="s">
        <v>73</v>
      </c>
      <c r="F56" s="75" t="s">
        <v>27</v>
      </c>
      <c r="G56" s="5" t="s">
        <v>930</v>
      </c>
      <c r="K56" s="39" t="s">
        <v>76</v>
      </c>
      <c r="O56" s="1" t="s">
        <v>907</v>
      </c>
    </row>
    <row r="57" spans="1:15" x14ac:dyDescent="0.2">
      <c r="A57" s="46">
        <f t="shared" si="1"/>
        <v>1</v>
      </c>
      <c r="B57" s="27">
        <v>1</v>
      </c>
      <c r="D57" s="27">
        <v>1</v>
      </c>
      <c r="E57" s="2" t="s">
        <v>73</v>
      </c>
      <c r="F57" s="75" t="s">
        <v>27</v>
      </c>
      <c r="G57" s="5" t="s">
        <v>930</v>
      </c>
      <c r="H57" s="10" t="s">
        <v>75</v>
      </c>
      <c r="I57" s="89" t="s">
        <v>920</v>
      </c>
      <c r="J57" s="10" t="s">
        <v>931</v>
      </c>
      <c r="K57" s="39" t="s">
        <v>22</v>
      </c>
      <c r="L57" s="34">
        <v>105804</v>
      </c>
      <c r="O57" s="1" t="s">
        <v>907</v>
      </c>
    </row>
    <row r="58" spans="1:15" x14ac:dyDescent="0.2">
      <c r="A58" s="46">
        <f t="shared" si="1"/>
        <v>2</v>
      </c>
      <c r="B58" s="27">
        <v>1</v>
      </c>
      <c r="C58" s="27">
        <v>1</v>
      </c>
      <c r="E58" s="2" t="s">
        <v>73</v>
      </c>
      <c r="F58" s="75" t="s">
        <v>85</v>
      </c>
      <c r="G58" s="5" t="s">
        <v>930</v>
      </c>
      <c r="H58" s="6" t="s">
        <v>75</v>
      </c>
      <c r="K58" s="39" t="s">
        <v>39</v>
      </c>
      <c r="L58" s="34">
        <v>562609</v>
      </c>
      <c r="O58" s="1" t="s">
        <v>907</v>
      </c>
    </row>
    <row r="59" spans="1:15" x14ac:dyDescent="0.2">
      <c r="A59" s="46">
        <f t="shared" si="1"/>
        <v>1</v>
      </c>
      <c r="B59" s="27">
        <v>1</v>
      </c>
      <c r="E59" s="2" t="s">
        <v>73</v>
      </c>
      <c r="F59" s="75" t="s">
        <v>68</v>
      </c>
      <c r="G59" s="5" t="s">
        <v>930</v>
      </c>
      <c r="H59" s="6" t="s">
        <v>75</v>
      </c>
      <c r="I59" s="89" t="s">
        <v>920</v>
      </c>
      <c r="J59" s="10" t="s">
        <v>931</v>
      </c>
      <c r="K59" s="39" t="s">
        <v>22</v>
      </c>
      <c r="L59" s="34">
        <v>105835</v>
      </c>
      <c r="N59" s="1" t="s">
        <v>81</v>
      </c>
      <c r="O59" s="1" t="s">
        <v>907</v>
      </c>
    </row>
    <row r="60" spans="1:15" x14ac:dyDescent="0.2">
      <c r="A60" s="46">
        <f t="shared" si="1"/>
        <v>1</v>
      </c>
      <c r="B60" s="27">
        <v>1</v>
      </c>
      <c r="E60" s="2" t="s">
        <v>73</v>
      </c>
      <c r="F60" s="75" t="s">
        <v>77</v>
      </c>
      <c r="G60" s="5" t="s">
        <v>930</v>
      </c>
      <c r="H60" s="10" t="s">
        <v>75</v>
      </c>
      <c r="I60" s="89"/>
      <c r="J60" s="10"/>
      <c r="K60" s="39" t="s">
        <v>48</v>
      </c>
      <c r="L60" s="34" t="s">
        <v>78</v>
      </c>
      <c r="N60" s="1" t="s">
        <v>81</v>
      </c>
      <c r="O60" s="1" t="s">
        <v>907</v>
      </c>
    </row>
    <row r="61" spans="1:15" x14ac:dyDescent="0.2">
      <c r="A61" s="46">
        <f t="shared" ref="A61:A92" si="2">B61+C61</f>
        <v>5</v>
      </c>
      <c r="B61" s="27">
        <v>1</v>
      </c>
      <c r="C61" s="27">
        <v>4</v>
      </c>
      <c r="E61" s="2" t="s">
        <v>73</v>
      </c>
      <c r="F61" s="75" t="s">
        <v>77</v>
      </c>
      <c r="G61" s="5" t="s">
        <v>930</v>
      </c>
      <c r="H61" s="10" t="s">
        <v>79</v>
      </c>
      <c r="I61" s="89"/>
      <c r="J61" s="10"/>
      <c r="K61" s="39" t="s">
        <v>22</v>
      </c>
      <c r="L61" s="34">
        <v>135106</v>
      </c>
      <c r="M61" s="12" t="s">
        <v>80</v>
      </c>
      <c r="N61" s="4" t="s">
        <v>81</v>
      </c>
      <c r="O61" s="1" t="s">
        <v>907</v>
      </c>
    </row>
    <row r="62" spans="1:15" x14ac:dyDescent="0.2">
      <c r="A62" s="46">
        <f t="shared" si="2"/>
        <v>1</v>
      </c>
      <c r="B62" s="27">
        <v>1</v>
      </c>
      <c r="E62" s="2" t="s">
        <v>73</v>
      </c>
      <c r="F62" s="75" t="s">
        <v>33</v>
      </c>
      <c r="G62" s="5" t="s">
        <v>930</v>
      </c>
      <c r="H62" s="6" t="s">
        <v>75</v>
      </c>
      <c r="K62" s="39" t="s">
        <v>39</v>
      </c>
      <c r="L62" s="34">
        <v>553355</v>
      </c>
      <c r="O62" s="1" t="s">
        <v>907</v>
      </c>
    </row>
    <row r="63" spans="1:15" x14ac:dyDescent="0.2">
      <c r="A63" s="46">
        <f t="shared" si="2"/>
        <v>1</v>
      </c>
      <c r="B63" s="27">
        <v>1</v>
      </c>
      <c r="E63" s="2" t="s">
        <v>73</v>
      </c>
      <c r="F63" s="75" t="s">
        <v>101</v>
      </c>
      <c r="G63" s="5" t="s">
        <v>930</v>
      </c>
      <c r="H63" s="10" t="s">
        <v>75</v>
      </c>
      <c r="I63" s="89" t="s">
        <v>920</v>
      </c>
      <c r="J63" s="10" t="s">
        <v>931</v>
      </c>
      <c r="K63" s="39" t="s">
        <v>22</v>
      </c>
      <c r="L63" s="34">
        <v>105810</v>
      </c>
      <c r="O63" s="1" t="s">
        <v>907</v>
      </c>
    </row>
    <row r="64" spans="1:15" x14ac:dyDescent="0.2">
      <c r="A64" s="46">
        <f t="shared" si="2"/>
        <v>1</v>
      </c>
      <c r="B64" s="27">
        <v>1</v>
      </c>
      <c r="E64" s="2" t="s">
        <v>73</v>
      </c>
      <c r="F64" s="75" t="s">
        <v>106</v>
      </c>
      <c r="G64" s="5" t="s">
        <v>930</v>
      </c>
      <c r="H64" s="10" t="s">
        <v>75</v>
      </c>
      <c r="I64" s="89" t="s">
        <v>920</v>
      </c>
      <c r="J64" s="10" t="s">
        <v>931</v>
      </c>
      <c r="K64" s="39" t="s">
        <v>22</v>
      </c>
      <c r="L64" s="34">
        <v>105813</v>
      </c>
      <c r="O64" s="1" t="s">
        <v>907</v>
      </c>
    </row>
    <row r="65" spans="1:15" x14ac:dyDescent="0.2">
      <c r="A65" s="46">
        <f t="shared" si="2"/>
        <v>2</v>
      </c>
      <c r="B65" s="27">
        <v>1</v>
      </c>
      <c r="C65" s="27">
        <v>1</v>
      </c>
      <c r="E65" s="2" t="s">
        <v>87</v>
      </c>
      <c r="F65" s="75" t="s">
        <v>24</v>
      </c>
      <c r="K65" s="39" t="s">
        <v>17</v>
      </c>
      <c r="O65" s="1" t="s">
        <v>907</v>
      </c>
    </row>
    <row r="66" spans="1:15" x14ac:dyDescent="0.2">
      <c r="A66" s="46">
        <f t="shared" si="2"/>
        <v>2</v>
      </c>
      <c r="B66" s="27">
        <v>1</v>
      </c>
      <c r="C66" s="27">
        <v>1</v>
      </c>
      <c r="E66" s="2" t="s">
        <v>87</v>
      </c>
      <c r="F66" s="75" t="s">
        <v>26</v>
      </c>
      <c r="K66" s="39" t="s">
        <v>17</v>
      </c>
      <c r="O66" s="1" t="s">
        <v>907</v>
      </c>
    </row>
    <row r="67" spans="1:15" x14ac:dyDescent="0.2">
      <c r="A67" s="46">
        <f t="shared" si="2"/>
        <v>1</v>
      </c>
      <c r="B67" s="27">
        <v>1</v>
      </c>
      <c r="E67" s="2" t="s">
        <v>87</v>
      </c>
      <c r="F67" s="75" t="s">
        <v>267</v>
      </c>
      <c r="G67" s="5" t="s">
        <v>947</v>
      </c>
      <c r="H67" s="6" t="s">
        <v>89</v>
      </c>
      <c r="I67" s="27" t="s">
        <v>926</v>
      </c>
      <c r="J67" s="6" t="s">
        <v>931</v>
      </c>
      <c r="K67" s="39" t="s">
        <v>22</v>
      </c>
      <c r="L67" s="34">
        <v>101254</v>
      </c>
      <c r="O67" s="1" t="s">
        <v>908</v>
      </c>
    </row>
    <row r="68" spans="1:15" x14ac:dyDescent="0.2">
      <c r="A68" s="46">
        <f t="shared" si="2"/>
        <v>2</v>
      </c>
      <c r="B68" s="27">
        <v>1</v>
      </c>
      <c r="C68" s="27">
        <v>1</v>
      </c>
      <c r="E68" s="2" t="s">
        <v>87</v>
      </c>
      <c r="F68" s="76" t="s">
        <v>91</v>
      </c>
      <c r="H68" s="10" t="s">
        <v>89</v>
      </c>
      <c r="I68" s="89"/>
      <c r="J68" s="10"/>
      <c r="K68" s="48" t="s">
        <v>48</v>
      </c>
      <c r="L68" s="34" t="s">
        <v>92</v>
      </c>
      <c r="N68" s="1" t="s">
        <v>891</v>
      </c>
      <c r="O68" s="1" t="s">
        <v>907</v>
      </c>
    </row>
    <row r="69" spans="1:15" x14ac:dyDescent="0.2">
      <c r="A69" s="46">
        <f t="shared" si="2"/>
        <v>2</v>
      </c>
      <c r="B69" s="27">
        <v>1</v>
      </c>
      <c r="C69" s="27">
        <v>1</v>
      </c>
      <c r="E69" s="2" t="s">
        <v>87</v>
      </c>
      <c r="F69" s="75" t="s">
        <v>27</v>
      </c>
      <c r="H69" s="10" t="s">
        <v>93</v>
      </c>
      <c r="I69" s="89"/>
      <c r="J69" s="10"/>
      <c r="K69" s="39" t="s">
        <v>76</v>
      </c>
      <c r="N69" s="1" t="s">
        <v>885</v>
      </c>
      <c r="O69" s="1" t="s">
        <v>907</v>
      </c>
    </row>
    <row r="70" spans="1:15" x14ac:dyDescent="0.2">
      <c r="A70" s="46">
        <f t="shared" si="2"/>
        <v>1</v>
      </c>
      <c r="B70" s="27">
        <v>1</v>
      </c>
      <c r="E70" s="2" t="s">
        <v>87</v>
      </c>
      <c r="F70" s="75" t="s">
        <v>12</v>
      </c>
      <c r="H70" s="6" t="s">
        <v>89</v>
      </c>
      <c r="K70" s="39" t="s">
        <v>22</v>
      </c>
      <c r="L70" s="34">
        <v>101204</v>
      </c>
      <c r="O70" s="1" t="s">
        <v>907</v>
      </c>
    </row>
    <row r="71" spans="1:15" x14ac:dyDescent="0.2">
      <c r="A71" s="46">
        <f t="shared" si="2"/>
        <v>5</v>
      </c>
      <c r="B71" s="27">
        <v>1</v>
      </c>
      <c r="C71" s="27">
        <v>4</v>
      </c>
      <c r="E71" s="2" t="s">
        <v>87</v>
      </c>
      <c r="F71" s="75" t="s">
        <v>88</v>
      </c>
      <c r="G71" s="5" t="s">
        <v>947</v>
      </c>
      <c r="H71" s="6" t="s">
        <v>89</v>
      </c>
      <c r="I71" s="27" t="s">
        <v>926</v>
      </c>
      <c r="J71" s="6" t="s">
        <v>931</v>
      </c>
      <c r="K71" s="39" t="s">
        <v>22</v>
      </c>
      <c r="L71" s="34">
        <v>101243</v>
      </c>
      <c r="N71" s="1" t="s">
        <v>891</v>
      </c>
      <c r="O71" s="1" t="s">
        <v>907</v>
      </c>
    </row>
    <row r="72" spans="1:15" x14ac:dyDescent="0.2">
      <c r="A72" s="46">
        <f t="shared" si="2"/>
        <v>3</v>
      </c>
      <c r="B72" s="27">
        <v>1</v>
      </c>
      <c r="C72" s="27">
        <v>2</v>
      </c>
      <c r="E72" s="2" t="s">
        <v>87</v>
      </c>
      <c r="F72" s="75" t="s">
        <v>30</v>
      </c>
      <c r="G72" s="5" t="s">
        <v>947</v>
      </c>
      <c r="H72" s="6" t="s">
        <v>89</v>
      </c>
      <c r="I72" s="27" t="s">
        <v>926</v>
      </c>
      <c r="J72" s="6" t="s">
        <v>931</v>
      </c>
      <c r="K72" s="39" t="s">
        <v>22</v>
      </c>
      <c r="L72" s="34">
        <v>101206</v>
      </c>
      <c r="N72" s="1" t="s">
        <v>81</v>
      </c>
      <c r="O72" s="1" t="s">
        <v>907</v>
      </c>
    </row>
    <row r="73" spans="1:15" x14ac:dyDescent="0.2">
      <c r="A73" s="46">
        <f t="shared" si="2"/>
        <v>1</v>
      </c>
      <c r="B73" s="27">
        <v>1</v>
      </c>
      <c r="E73" s="2" t="s">
        <v>87</v>
      </c>
      <c r="F73" s="75" t="s">
        <v>96</v>
      </c>
      <c r="K73" s="39" t="s">
        <v>17</v>
      </c>
      <c r="O73" s="1" t="s">
        <v>907</v>
      </c>
    </row>
    <row r="74" spans="1:15" x14ac:dyDescent="0.2">
      <c r="A74" s="46">
        <f t="shared" si="2"/>
        <v>2</v>
      </c>
      <c r="B74" s="27">
        <v>1</v>
      </c>
      <c r="C74" s="27">
        <v>1</v>
      </c>
      <c r="E74" s="2" t="s">
        <v>87</v>
      </c>
      <c r="F74" s="75" t="s">
        <v>33</v>
      </c>
      <c r="H74" s="6" t="s">
        <v>89</v>
      </c>
      <c r="K74" s="39" t="s">
        <v>39</v>
      </c>
      <c r="L74" s="34">
        <v>553311</v>
      </c>
      <c r="O74" s="1" t="s">
        <v>907</v>
      </c>
    </row>
    <row r="75" spans="1:15" x14ac:dyDescent="0.2">
      <c r="A75" s="46">
        <f t="shared" si="2"/>
        <v>1</v>
      </c>
      <c r="B75" s="27">
        <v>1</v>
      </c>
      <c r="E75" s="2" t="s">
        <v>87</v>
      </c>
      <c r="F75" s="75" t="s">
        <v>33</v>
      </c>
      <c r="H75" s="6" t="s">
        <v>89</v>
      </c>
      <c r="K75" s="39" t="s">
        <v>48</v>
      </c>
      <c r="L75" s="34" t="s">
        <v>94</v>
      </c>
      <c r="M75" s="71" t="s">
        <v>95</v>
      </c>
      <c r="O75" s="1" t="s">
        <v>907</v>
      </c>
    </row>
    <row r="76" spans="1:15" x14ac:dyDescent="0.2">
      <c r="A76" s="46">
        <f t="shared" si="2"/>
        <v>1</v>
      </c>
      <c r="B76" s="27">
        <v>1</v>
      </c>
      <c r="E76" s="2" t="s">
        <v>87</v>
      </c>
      <c r="F76" s="75" t="s">
        <v>33</v>
      </c>
      <c r="H76" s="6" t="s">
        <v>89</v>
      </c>
      <c r="K76" s="39" t="s">
        <v>17</v>
      </c>
      <c r="O76" s="1" t="s">
        <v>907</v>
      </c>
    </row>
    <row r="77" spans="1:15" x14ac:dyDescent="0.2">
      <c r="A77" s="46">
        <f t="shared" si="2"/>
        <v>5</v>
      </c>
      <c r="B77" s="27">
        <v>1</v>
      </c>
      <c r="C77" s="27">
        <v>4</v>
      </c>
      <c r="E77" s="2" t="s">
        <v>87</v>
      </c>
      <c r="F77" s="75" t="s">
        <v>90</v>
      </c>
      <c r="G77" s="5" t="s">
        <v>947</v>
      </c>
      <c r="H77" s="6" t="s">
        <v>89</v>
      </c>
      <c r="I77" s="27" t="s">
        <v>926</v>
      </c>
      <c r="J77" s="6" t="s">
        <v>931</v>
      </c>
      <c r="K77" s="39" t="s">
        <v>22</v>
      </c>
      <c r="L77" s="34">
        <v>101228</v>
      </c>
      <c r="N77" s="1" t="s">
        <v>81</v>
      </c>
      <c r="O77" s="1" t="s">
        <v>907</v>
      </c>
    </row>
    <row r="78" spans="1:15" x14ac:dyDescent="0.2">
      <c r="A78" s="46">
        <f t="shared" si="2"/>
        <v>0</v>
      </c>
      <c r="E78" s="2" t="s">
        <v>87</v>
      </c>
      <c r="F78" s="75" t="s">
        <v>90</v>
      </c>
      <c r="G78" s="5" t="s">
        <v>947</v>
      </c>
      <c r="H78" s="6" t="s">
        <v>89</v>
      </c>
      <c r="I78" s="27" t="s">
        <v>926</v>
      </c>
      <c r="J78" s="6" t="s">
        <v>931</v>
      </c>
      <c r="K78" s="39" t="s">
        <v>22</v>
      </c>
      <c r="L78" s="34">
        <v>101228</v>
      </c>
      <c r="N78" s="1" t="s">
        <v>81</v>
      </c>
      <c r="O78" s="1" t="s">
        <v>907</v>
      </c>
    </row>
    <row r="79" spans="1:15" x14ac:dyDescent="0.2">
      <c r="A79" s="46">
        <f t="shared" si="2"/>
        <v>3</v>
      </c>
      <c r="B79" s="27">
        <v>1</v>
      </c>
      <c r="C79" s="27">
        <v>2</v>
      </c>
      <c r="E79" s="2" t="s">
        <v>97</v>
      </c>
      <c r="F79" s="75" t="s">
        <v>24</v>
      </c>
      <c r="K79" s="39" t="s">
        <v>20</v>
      </c>
      <c r="O79" s="1" t="s">
        <v>907</v>
      </c>
    </row>
    <row r="80" spans="1:15" ht="17" x14ac:dyDescent="0.2">
      <c r="A80" s="46">
        <f t="shared" si="2"/>
        <v>1</v>
      </c>
      <c r="B80" s="27">
        <v>1</v>
      </c>
      <c r="E80" s="2" t="s">
        <v>97</v>
      </c>
      <c r="F80" s="75" t="s">
        <v>113</v>
      </c>
      <c r="G80" s="5" t="s">
        <v>1047</v>
      </c>
      <c r="H80" s="6" t="s">
        <v>98</v>
      </c>
      <c r="I80" s="89" t="s">
        <v>920</v>
      </c>
      <c r="J80" s="106" t="s">
        <v>317</v>
      </c>
      <c r="K80" s="39" t="s">
        <v>22</v>
      </c>
      <c r="L80" s="34">
        <v>117320</v>
      </c>
      <c r="O80" s="1" t="s">
        <v>907</v>
      </c>
    </row>
    <row r="81" spans="1:15" x14ac:dyDescent="0.2">
      <c r="A81" s="46">
        <f t="shared" si="2"/>
        <v>2</v>
      </c>
      <c r="B81" s="27">
        <v>1</v>
      </c>
      <c r="C81" s="27">
        <v>1</v>
      </c>
      <c r="E81" s="2" t="s">
        <v>97</v>
      </c>
      <c r="F81" s="75" t="s">
        <v>91</v>
      </c>
      <c r="H81" s="10" t="s">
        <v>98</v>
      </c>
      <c r="I81" s="89"/>
      <c r="J81" s="10"/>
      <c r="K81" s="39" t="s">
        <v>22</v>
      </c>
      <c r="L81" s="34">
        <v>117320</v>
      </c>
      <c r="M81" s="1" t="s">
        <v>99</v>
      </c>
      <c r="N81" s="1" t="s">
        <v>81</v>
      </c>
      <c r="O81" s="1" t="s">
        <v>907</v>
      </c>
    </row>
    <row r="82" spans="1:15" ht="17" x14ac:dyDescent="0.2">
      <c r="A82" s="46">
        <f t="shared" si="2"/>
        <v>1</v>
      </c>
      <c r="B82" s="27">
        <v>1</v>
      </c>
      <c r="E82" s="2" t="s">
        <v>97</v>
      </c>
      <c r="F82" s="75" t="s">
        <v>42</v>
      </c>
      <c r="G82" s="5" t="s">
        <v>1047</v>
      </c>
      <c r="H82" s="6" t="s">
        <v>98</v>
      </c>
      <c r="I82" s="89" t="s">
        <v>920</v>
      </c>
      <c r="J82" s="106" t="s">
        <v>317</v>
      </c>
      <c r="K82" s="39" t="s">
        <v>22</v>
      </c>
      <c r="L82" s="34">
        <v>117310</v>
      </c>
      <c r="O82" s="1" t="s">
        <v>907</v>
      </c>
    </row>
    <row r="83" spans="1:15" ht="17" x14ac:dyDescent="0.2">
      <c r="A83" s="46">
        <f t="shared" si="2"/>
        <v>2</v>
      </c>
      <c r="B83" s="27">
        <v>1</v>
      </c>
      <c r="C83" s="27">
        <v>1</v>
      </c>
      <c r="E83" s="2" t="s">
        <v>104</v>
      </c>
      <c r="F83" s="75" t="s">
        <v>84</v>
      </c>
      <c r="G83" s="5" t="s">
        <v>1047</v>
      </c>
      <c r="H83" s="6" t="s">
        <v>98</v>
      </c>
      <c r="I83" s="89" t="s">
        <v>920</v>
      </c>
      <c r="J83" s="106" t="s">
        <v>317</v>
      </c>
      <c r="K83" s="39" t="s">
        <v>22</v>
      </c>
      <c r="L83" s="34">
        <v>117352</v>
      </c>
      <c r="O83" s="1" t="s">
        <v>907</v>
      </c>
    </row>
    <row r="84" spans="1:15" ht="17" x14ac:dyDescent="0.2">
      <c r="A84" s="46">
        <f t="shared" si="2"/>
        <v>3</v>
      </c>
      <c r="B84" s="27">
        <v>1</v>
      </c>
      <c r="C84" s="27">
        <v>2</v>
      </c>
      <c r="E84" s="2" t="s">
        <v>97</v>
      </c>
      <c r="F84" s="75" t="s">
        <v>83</v>
      </c>
      <c r="G84" s="5" t="s">
        <v>1047</v>
      </c>
      <c r="H84" s="6" t="s">
        <v>98</v>
      </c>
      <c r="I84" s="89" t="s">
        <v>920</v>
      </c>
      <c r="J84" s="106" t="s">
        <v>317</v>
      </c>
      <c r="K84" s="39" t="s">
        <v>22</v>
      </c>
      <c r="L84" s="34">
        <v>117324</v>
      </c>
      <c r="N84" s="1" t="s">
        <v>886</v>
      </c>
      <c r="O84" s="1" t="s">
        <v>907</v>
      </c>
    </row>
    <row r="85" spans="1:15" x14ac:dyDescent="0.2">
      <c r="A85" s="46">
        <f t="shared" si="2"/>
        <v>3</v>
      </c>
      <c r="B85" s="27">
        <v>1</v>
      </c>
      <c r="C85" s="27">
        <v>2</v>
      </c>
      <c r="E85" s="2" t="s">
        <v>97</v>
      </c>
      <c r="F85" s="75" t="s">
        <v>27</v>
      </c>
      <c r="H85" s="10" t="s">
        <v>98</v>
      </c>
      <c r="I85" s="89"/>
      <c r="J85" s="10" t="s">
        <v>317</v>
      </c>
      <c r="K85" s="39" t="s">
        <v>22</v>
      </c>
      <c r="L85" s="34">
        <v>117304</v>
      </c>
      <c r="N85" s="1" t="s">
        <v>81</v>
      </c>
      <c r="O85" s="1" t="s">
        <v>908</v>
      </c>
    </row>
    <row r="86" spans="1:15" x14ac:dyDescent="0.2">
      <c r="A86" s="46">
        <f t="shared" si="2"/>
        <v>3</v>
      </c>
      <c r="B86" s="27">
        <v>1</v>
      </c>
      <c r="C86" s="27">
        <v>2</v>
      </c>
      <c r="E86" s="2" t="s">
        <v>97</v>
      </c>
      <c r="F86" s="75" t="s">
        <v>107</v>
      </c>
      <c r="H86" s="11" t="s">
        <v>98</v>
      </c>
      <c r="I86" s="87"/>
      <c r="J86" s="11"/>
      <c r="K86" s="39" t="s">
        <v>39</v>
      </c>
      <c r="L86" s="34">
        <v>744180</v>
      </c>
      <c r="O86" s="1" t="s">
        <v>907</v>
      </c>
    </row>
    <row r="87" spans="1:15" x14ac:dyDescent="0.2">
      <c r="A87" s="46">
        <f t="shared" si="2"/>
        <v>2</v>
      </c>
      <c r="B87" s="27">
        <v>1</v>
      </c>
      <c r="C87" s="27">
        <v>1</v>
      </c>
      <c r="E87" s="2" t="s">
        <v>97</v>
      </c>
      <c r="F87" s="75" t="s">
        <v>108</v>
      </c>
      <c r="H87" s="11" t="s">
        <v>98</v>
      </c>
      <c r="I87" s="87"/>
      <c r="J87" s="11"/>
      <c r="K87" s="39" t="s">
        <v>39</v>
      </c>
      <c r="L87" s="34">
        <v>750450</v>
      </c>
      <c r="O87" s="1" t="s">
        <v>907</v>
      </c>
    </row>
    <row r="88" spans="1:15" ht="17" x14ac:dyDescent="0.2">
      <c r="A88" s="46">
        <f t="shared" si="2"/>
        <v>1</v>
      </c>
      <c r="B88" s="27">
        <v>1</v>
      </c>
      <c r="E88" s="2" t="s">
        <v>97</v>
      </c>
      <c r="F88" s="75" t="s">
        <v>116</v>
      </c>
      <c r="G88" s="5" t="s">
        <v>1047</v>
      </c>
      <c r="H88" s="6" t="s">
        <v>98</v>
      </c>
      <c r="I88" s="89" t="s">
        <v>920</v>
      </c>
      <c r="J88" s="106" t="s">
        <v>317</v>
      </c>
      <c r="K88" s="39" t="s">
        <v>22</v>
      </c>
      <c r="L88" s="34">
        <v>117338</v>
      </c>
      <c r="O88" s="1" t="s">
        <v>907</v>
      </c>
    </row>
    <row r="89" spans="1:15" ht="17" x14ac:dyDescent="0.2">
      <c r="A89" s="46">
        <f t="shared" si="2"/>
        <v>1</v>
      </c>
      <c r="B89" s="27">
        <v>1</v>
      </c>
      <c r="E89" s="2" t="s">
        <v>97</v>
      </c>
      <c r="F89" s="75" t="s">
        <v>114</v>
      </c>
      <c r="G89" s="5" t="s">
        <v>1047</v>
      </c>
      <c r="H89" s="6" t="s">
        <v>98</v>
      </c>
      <c r="I89" s="89" t="s">
        <v>920</v>
      </c>
      <c r="J89" s="106" t="s">
        <v>317</v>
      </c>
      <c r="K89" s="39" t="s">
        <v>22</v>
      </c>
      <c r="L89" s="34">
        <v>117331</v>
      </c>
      <c r="O89" s="1" t="s">
        <v>907</v>
      </c>
    </row>
    <row r="90" spans="1:15" x14ac:dyDescent="0.2">
      <c r="A90" s="46">
        <f t="shared" si="2"/>
        <v>2</v>
      </c>
      <c r="B90" s="27">
        <v>1</v>
      </c>
      <c r="C90" s="27">
        <v>1</v>
      </c>
      <c r="E90" s="2" t="s">
        <v>97</v>
      </c>
      <c r="F90" s="76" t="s">
        <v>66</v>
      </c>
      <c r="H90" s="10" t="s">
        <v>98</v>
      </c>
      <c r="I90" s="89"/>
      <c r="J90" s="10"/>
      <c r="K90" s="48" t="s">
        <v>22</v>
      </c>
      <c r="L90" s="34">
        <v>117333</v>
      </c>
      <c r="M90" s="1" t="s">
        <v>100</v>
      </c>
      <c r="N90" s="1" t="s">
        <v>888</v>
      </c>
      <c r="O90" s="1" t="s">
        <v>907</v>
      </c>
    </row>
    <row r="91" spans="1:15" ht="17" x14ac:dyDescent="0.2">
      <c r="A91" s="46">
        <f t="shared" si="2"/>
        <v>1</v>
      </c>
      <c r="B91" s="27">
        <v>1</v>
      </c>
      <c r="E91" s="2" t="s">
        <v>97</v>
      </c>
      <c r="F91" s="75" t="s">
        <v>109</v>
      </c>
      <c r="G91" s="5" t="s">
        <v>1047</v>
      </c>
      <c r="H91" s="6" t="s">
        <v>98</v>
      </c>
      <c r="I91" s="89" t="s">
        <v>920</v>
      </c>
      <c r="J91" s="106" t="s">
        <v>317</v>
      </c>
      <c r="K91" s="39" t="s">
        <v>22</v>
      </c>
      <c r="L91" s="34">
        <v>117339</v>
      </c>
      <c r="O91" s="1" t="s">
        <v>907</v>
      </c>
    </row>
    <row r="92" spans="1:15" ht="17" x14ac:dyDescent="0.2">
      <c r="A92" s="46">
        <f t="shared" si="2"/>
        <v>1</v>
      </c>
      <c r="B92" s="27">
        <v>1</v>
      </c>
      <c r="E92" s="2" t="s">
        <v>97</v>
      </c>
      <c r="F92" s="75" t="s">
        <v>110</v>
      </c>
      <c r="G92" s="5" t="s">
        <v>1047</v>
      </c>
      <c r="H92" s="6" t="s">
        <v>98</v>
      </c>
      <c r="I92" s="89" t="s">
        <v>920</v>
      </c>
      <c r="J92" s="106" t="s">
        <v>317</v>
      </c>
      <c r="K92" s="39" t="s">
        <v>22</v>
      </c>
      <c r="L92" s="34">
        <v>117349</v>
      </c>
      <c r="O92" s="1" t="s">
        <v>907</v>
      </c>
    </row>
    <row r="93" spans="1:15" x14ac:dyDescent="0.2">
      <c r="A93" s="46">
        <f t="shared" ref="A93:A124" si="3">B93+C93</f>
        <v>4</v>
      </c>
      <c r="B93" s="27">
        <v>1</v>
      </c>
      <c r="C93" s="27">
        <v>3</v>
      </c>
      <c r="E93" s="2" t="s">
        <v>97</v>
      </c>
      <c r="F93" s="75" t="s">
        <v>88</v>
      </c>
      <c r="H93" s="6" t="s">
        <v>98</v>
      </c>
      <c r="K93" s="39" t="s">
        <v>22</v>
      </c>
      <c r="L93" s="34">
        <v>117335</v>
      </c>
      <c r="N93" s="1" t="s">
        <v>81</v>
      </c>
      <c r="O93" s="1" t="s">
        <v>907</v>
      </c>
    </row>
    <row r="94" spans="1:15" ht="17" x14ac:dyDescent="0.2">
      <c r="A94" s="46">
        <f t="shared" si="3"/>
        <v>3</v>
      </c>
      <c r="B94" s="27">
        <v>1</v>
      </c>
      <c r="C94" s="27">
        <v>2</v>
      </c>
      <c r="E94" s="2" t="s">
        <v>97</v>
      </c>
      <c r="F94" s="75" t="s">
        <v>115</v>
      </c>
      <c r="G94" s="5" t="s">
        <v>1047</v>
      </c>
      <c r="H94" s="6" t="s">
        <v>98</v>
      </c>
      <c r="I94" s="89" t="s">
        <v>920</v>
      </c>
      <c r="J94" s="106" t="s">
        <v>317</v>
      </c>
      <c r="K94" s="39" t="s">
        <v>22</v>
      </c>
      <c r="L94" s="34">
        <v>117336</v>
      </c>
      <c r="N94" s="1" t="s">
        <v>81</v>
      </c>
      <c r="O94" s="1" t="s">
        <v>907</v>
      </c>
    </row>
    <row r="95" spans="1:15" ht="17" x14ac:dyDescent="0.2">
      <c r="A95" s="46">
        <f t="shared" si="3"/>
        <v>1</v>
      </c>
      <c r="B95" s="27">
        <v>1</v>
      </c>
      <c r="E95" s="2" t="s">
        <v>97</v>
      </c>
      <c r="F95" s="75" t="s">
        <v>30</v>
      </c>
      <c r="G95" s="5" t="s">
        <v>1047</v>
      </c>
      <c r="H95" s="6" t="s">
        <v>98</v>
      </c>
      <c r="I95" s="89" t="s">
        <v>920</v>
      </c>
      <c r="J95" s="106" t="s">
        <v>317</v>
      </c>
      <c r="K95" s="39" t="s">
        <v>22</v>
      </c>
      <c r="L95" s="34">
        <v>117306</v>
      </c>
      <c r="O95" s="1" t="s">
        <v>907</v>
      </c>
    </row>
    <row r="96" spans="1:15" x14ac:dyDescent="0.2">
      <c r="A96" s="46">
        <f t="shared" si="3"/>
        <v>1</v>
      </c>
      <c r="B96" s="27">
        <v>1</v>
      </c>
      <c r="E96" s="2" t="s">
        <v>97</v>
      </c>
      <c r="F96" s="75" t="s">
        <v>96</v>
      </c>
      <c r="H96" s="10"/>
      <c r="I96" s="89"/>
      <c r="J96" s="10"/>
      <c r="K96" s="39" t="s">
        <v>72</v>
      </c>
      <c r="O96" s="1" t="s">
        <v>907</v>
      </c>
    </row>
    <row r="97" spans="1:15" ht="17" x14ac:dyDescent="0.2">
      <c r="A97" s="46">
        <f t="shared" si="3"/>
        <v>1</v>
      </c>
      <c r="B97" s="27">
        <v>1</v>
      </c>
      <c r="E97" s="2" t="s">
        <v>97</v>
      </c>
      <c r="F97" s="75" t="s">
        <v>96</v>
      </c>
      <c r="G97" s="5" t="s">
        <v>1047</v>
      </c>
      <c r="H97" s="6" t="s">
        <v>98</v>
      </c>
      <c r="I97" s="89" t="s">
        <v>920</v>
      </c>
      <c r="J97" s="106" t="s">
        <v>317</v>
      </c>
      <c r="K97" s="39" t="s">
        <v>22</v>
      </c>
      <c r="L97" s="34">
        <v>117322</v>
      </c>
      <c r="O97" s="1" t="s">
        <v>907</v>
      </c>
    </row>
    <row r="98" spans="1:15" ht="17" x14ac:dyDescent="0.2">
      <c r="A98" s="46">
        <f t="shared" si="3"/>
        <v>3</v>
      </c>
      <c r="B98" s="27">
        <v>1</v>
      </c>
      <c r="C98" s="27">
        <v>2</v>
      </c>
      <c r="E98" s="2" t="s">
        <v>97</v>
      </c>
      <c r="F98" s="75" t="s">
        <v>33</v>
      </c>
      <c r="G98" s="5" t="s">
        <v>1047</v>
      </c>
      <c r="H98" s="6" t="s">
        <v>98</v>
      </c>
      <c r="I98" s="89" t="s">
        <v>920</v>
      </c>
      <c r="J98" s="106" t="s">
        <v>317</v>
      </c>
      <c r="K98" s="39" t="s">
        <v>22</v>
      </c>
      <c r="L98" s="34">
        <v>117308</v>
      </c>
      <c r="O98" s="1" t="s">
        <v>907</v>
      </c>
    </row>
    <row r="99" spans="1:15" x14ac:dyDescent="0.2">
      <c r="A99" s="46">
        <f t="shared" si="3"/>
        <v>1</v>
      </c>
      <c r="C99" s="27">
        <v>1</v>
      </c>
      <c r="E99" s="2" t="s">
        <v>97</v>
      </c>
      <c r="F99" s="75" t="s">
        <v>33</v>
      </c>
      <c r="H99" s="6" t="s">
        <v>103</v>
      </c>
      <c r="K99" s="39" t="s">
        <v>39</v>
      </c>
      <c r="L99" s="34">
        <v>553802</v>
      </c>
      <c r="O99" s="1" t="s">
        <v>907</v>
      </c>
    </row>
    <row r="100" spans="1:15" x14ac:dyDescent="0.2">
      <c r="A100" s="46">
        <f t="shared" si="3"/>
        <v>0</v>
      </c>
      <c r="E100" s="2" t="s">
        <v>97</v>
      </c>
      <c r="F100" s="76" t="s">
        <v>101</v>
      </c>
      <c r="H100" s="10" t="s">
        <v>98</v>
      </c>
      <c r="I100" s="89"/>
      <c r="J100" s="10"/>
      <c r="K100" s="48" t="s">
        <v>22</v>
      </c>
      <c r="L100" s="34">
        <v>117316</v>
      </c>
      <c r="M100" s="1" t="s">
        <v>102</v>
      </c>
      <c r="N100" s="1" t="s">
        <v>888</v>
      </c>
      <c r="O100" s="1" t="s">
        <v>907</v>
      </c>
    </row>
    <row r="101" spans="1:15" ht="17" x14ac:dyDescent="0.2">
      <c r="A101" s="46">
        <f t="shared" si="3"/>
        <v>1</v>
      </c>
      <c r="B101" s="27">
        <v>1</v>
      </c>
      <c r="E101" s="2" t="s">
        <v>97</v>
      </c>
      <c r="F101" s="75" t="s">
        <v>106</v>
      </c>
      <c r="G101" s="5" t="s">
        <v>1047</v>
      </c>
      <c r="H101" s="11" t="s">
        <v>98</v>
      </c>
      <c r="I101" s="89" t="s">
        <v>920</v>
      </c>
      <c r="J101" s="106" t="s">
        <v>317</v>
      </c>
      <c r="K101" s="39" t="s">
        <v>22</v>
      </c>
      <c r="L101" s="34">
        <v>117318</v>
      </c>
      <c r="O101" s="1" t="s">
        <v>907</v>
      </c>
    </row>
    <row r="102" spans="1:15" ht="17" x14ac:dyDescent="0.2">
      <c r="A102" s="46">
        <f t="shared" si="3"/>
        <v>1</v>
      </c>
      <c r="B102" s="27">
        <v>1</v>
      </c>
      <c r="E102" s="2" t="s">
        <v>97</v>
      </c>
      <c r="F102" s="75" t="s">
        <v>112</v>
      </c>
      <c r="G102" s="5" t="s">
        <v>1047</v>
      </c>
      <c r="H102" s="6" t="s">
        <v>98</v>
      </c>
      <c r="I102" s="89" t="s">
        <v>920</v>
      </c>
      <c r="J102" s="106" t="s">
        <v>317</v>
      </c>
      <c r="K102" s="39" t="s">
        <v>22</v>
      </c>
      <c r="L102" s="34">
        <v>117316</v>
      </c>
      <c r="O102" s="1" t="s">
        <v>907</v>
      </c>
    </row>
    <row r="103" spans="1:15" ht="17" x14ac:dyDescent="0.2">
      <c r="A103" s="46">
        <f t="shared" si="3"/>
        <v>2</v>
      </c>
      <c r="B103" s="27">
        <v>1</v>
      </c>
      <c r="C103" s="27">
        <v>1</v>
      </c>
      <c r="E103" s="2" t="s">
        <v>97</v>
      </c>
      <c r="F103" s="75" t="s">
        <v>105</v>
      </c>
      <c r="G103" s="5" t="s">
        <v>1047</v>
      </c>
      <c r="H103" s="6" t="s">
        <v>98</v>
      </c>
      <c r="I103" s="89" t="s">
        <v>920</v>
      </c>
      <c r="J103" s="106" t="s">
        <v>317</v>
      </c>
      <c r="K103" s="39" t="s">
        <v>22</v>
      </c>
      <c r="L103" s="34">
        <v>117348</v>
      </c>
      <c r="O103" s="1" t="s">
        <v>907</v>
      </c>
    </row>
    <row r="104" spans="1:15" x14ac:dyDescent="0.2">
      <c r="A104" s="46">
        <f t="shared" si="3"/>
        <v>3</v>
      </c>
      <c r="B104" s="27">
        <v>1</v>
      </c>
      <c r="C104" s="27">
        <v>2</v>
      </c>
      <c r="E104" s="2" t="s">
        <v>97</v>
      </c>
      <c r="F104" s="75" t="s">
        <v>90</v>
      </c>
      <c r="H104" s="11" t="s">
        <v>98</v>
      </c>
      <c r="I104" s="87"/>
      <c r="J104" s="11"/>
      <c r="K104" s="40" t="s">
        <v>22</v>
      </c>
      <c r="L104" s="34">
        <v>117327</v>
      </c>
      <c r="N104" s="1" t="s">
        <v>886</v>
      </c>
      <c r="O104" s="1" t="s">
        <v>907</v>
      </c>
    </row>
    <row r="105" spans="1:15" x14ac:dyDescent="0.2">
      <c r="A105" s="46">
        <f t="shared" si="3"/>
        <v>1</v>
      </c>
      <c r="B105" s="27">
        <v>1</v>
      </c>
      <c r="E105" s="2" t="s">
        <v>117</v>
      </c>
      <c r="F105" s="75" t="s">
        <v>26</v>
      </c>
      <c r="H105" s="10"/>
      <c r="I105" s="89"/>
      <c r="J105" s="10"/>
      <c r="K105" s="39" t="s">
        <v>17</v>
      </c>
      <c r="O105" s="1" t="s">
        <v>907</v>
      </c>
    </row>
    <row r="106" spans="1:15" ht="17" x14ac:dyDescent="0.2">
      <c r="A106" s="46">
        <f t="shared" si="3"/>
        <v>1</v>
      </c>
      <c r="B106" s="27">
        <v>1</v>
      </c>
      <c r="E106" s="2" t="s">
        <v>117</v>
      </c>
      <c r="F106" s="75" t="s">
        <v>26</v>
      </c>
      <c r="G106" s="5" t="s">
        <v>1047</v>
      </c>
      <c r="H106" s="10" t="s">
        <v>98</v>
      </c>
      <c r="I106" s="89" t="s">
        <v>920</v>
      </c>
      <c r="J106" s="106" t="s">
        <v>317</v>
      </c>
      <c r="K106" s="39" t="s">
        <v>22</v>
      </c>
      <c r="L106" s="34">
        <v>117314</v>
      </c>
      <c r="O106" s="1" t="s">
        <v>1046</v>
      </c>
    </row>
    <row r="107" spans="1:15" x14ac:dyDescent="0.2">
      <c r="A107" s="46">
        <f t="shared" si="3"/>
        <v>3</v>
      </c>
      <c r="B107" s="27">
        <v>1</v>
      </c>
      <c r="C107" s="27">
        <v>2</v>
      </c>
      <c r="E107" s="2" t="s">
        <v>117</v>
      </c>
      <c r="F107" s="75" t="s">
        <v>27</v>
      </c>
      <c r="H107" s="10" t="s">
        <v>98</v>
      </c>
      <c r="I107" s="89"/>
      <c r="J107" s="10"/>
      <c r="K107" s="39" t="s">
        <v>76</v>
      </c>
      <c r="N107" s="1" t="s">
        <v>887</v>
      </c>
      <c r="O107" s="1" t="s">
        <v>907</v>
      </c>
    </row>
    <row r="108" spans="1:15" x14ac:dyDescent="0.2">
      <c r="A108" s="46">
        <f t="shared" si="3"/>
        <v>1</v>
      </c>
      <c r="B108" s="27">
        <v>1</v>
      </c>
      <c r="E108" s="2" t="s">
        <v>117</v>
      </c>
      <c r="F108" s="75" t="s">
        <v>16</v>
      </c>
      <c r="H108" s="10"/>
      <c r="I108" s="89"/>
      <c r="J108" s="10"/>
      <c r="K108" s="39" t="s">
        <v>118</v>
      </c>
      <c r="O108" s="1" t="s">
        <v>907</v>
      </c>
    </row>
    <row r="109" spans="1:15" ht="17" x14ac:dyDescent="0.2">
      <c r="A109" s="46">
        <f t="shared" si="3"/>
        <v>1</v>
      </c>
      <c r="B109" s="27">
        <v>1</v>
      </c>
      <c r="E109" s="2" t="s">
        <v>117</v>
      </c>
      <c r="F109" s="75" t="s">
        <v>586</v>
      </c>
      <c r="G109" s="5" t="s">
        <v>1047</v>
      </c>
      <c r="H109" s="10" t="s">
        <v>98</v>
      </c>
      <c r="I109" s="89" t="s">
        <v>920</v>
      </c>
      <c r="J109" s="106" t="s">
        <v>317</v>
      </c>
      <c r="K109" s="39" t="s">
        <v>22</v>
      </c>
      <c r="L109" s="34">
        <v>117301</v>
      </c>
      <c r="O109" s="1" t="s">
        <v>1048</v>
      </c>
    </row>
    <row r="110" spans="1:15" x14ac:dyDescent="0.2">
      <c r="A110" s="46">
        <f t="shared" si="3"/>
        <v>2</v>
      </c>
      <c r="B110" s="27">
        <v>1</v>
      </c>
      <c r="C110" s="27">
        <v>1</v>
      </c>
      <c r="E110" s="13" t="s">
        <v>119</v>
      </c>
      <c r="F110" s="77" t="s">
        <v>33</v>
      </c>
      <c r="G110" s="49" t="s">
        <v>120</v>
      </c>
      <c r="H110" s="50" t="s">
        <v>59</v>
      </c>
      <c r="I110" s="90"/>
      <c r="J110" s="50"/>
      <c r="K110" s="40" t="s">
        <v>22</v>
      </c>
      <c r="L110" s="51">
        <v>105906</v>
      </c>
      <c r="N110" s="1" t="s">
        <v>886</v>
      </c>
      <c r="O110" s="1" t="s">
        <v>907</v>
      </c>
    </row>
    <row r="111" spans="1:15" x14ac:dyDescent="0.2">
      <c r="A111" s="46">
        <f t="shared" si="3"/>
        <v>1</v>
      </c>
      <c r="B111" s="27">
        <v>1</v>
      </c>
      <c r="E111" s="13" t="s">
        <v>119</v>
      </c>
      <c r="F111" s="77" t="s">
        <v>33</v>
      </c>
      <c r="G111" s="49" t="s">
        <v>120</v>
      </c>
      <c r="H111" s="50" t="s">
        <v>59</v>
      </c>
      <c r="I111" s="90"/>
      <c r="J111" s="50"/>
      <c r="K111" s="40" t="s">
        <v>48</v>
      </c>
      <c r="L111" s="51" t="s">
        <v>60</v>
      </c>
      <c r="O111" s="1" t="s">
        <v>907</v>
      </c>
    </row>
    <row r="112" spans="1:15" ht="21" customHeight="1" x14ac:dyDescent="0.2">
      <c r="A112" s="46">
        <f t="shared" si="3"/>
        <v>2</v>
      </c>
      <c r="B112" s="27">
        <v>1</v>
      </c>
      <c r="C112" s="27">
        <v>1</v>
      </c>
      <c r="E112" s="13" t="s">
        <v>1122</v>
      </c>
      <c r="F112" s="77" t="s">
        <v>110</v>
      </c>
      <c r="G112" s="49" t="s">
        <v>1125</v>
      </c>
      <c r="H112" s="50" t="s">
        <v>1123</v>
      </c>
      <c r="I112" s="89" t="s">
        <v>920</v>
      </c>
      <c r="J112" s="115" t="s">
        <v>931</v>
      </c>
      <c r="K112" s="40" t="s">
        <v>1124</v>
      </c>
      <c r="L112" s="51">
        <v>740720</v>
      </c>
      <c r="O112" s="1" t="s">
        <v>907</v>
      </c>
    </row>
    <row r="113" spans="1:15" x14ac:dyDescent="0.2">
      <c r="A113" s="46">
        <f t="shared" si="3"/>
        <v>1</v>
      </c>
      <c r="B113" s="27">
        <v>1</v>
      </c>
      <c r="E113" s="2" t="s">
        <v>121</v>
      </c>
      <c r="F113" s="75" t="s">
        <v>27</v>
      </c>
      <c r="G113" s="5" t="s">
        <v>125</v>
      </c>
      <c r="H113" s="10" t="s">
        <v>123</v>
      </c>
      <c r="I113" s="89"/>
      <c r="J113" s="10"/>
      <c r="K113" s="39" t="s">
        <v>48</v>
      </c>
      <c r="L113" s="34" t="s">
        <v>130</v>
      </c>
      <c r="M113" s="1"/>
      <c r="O113" s="1" t="s">
        <v>907</v>
      </c>
    </row>
    <row r="114" spans="1:15" x14ac:dyDescent="0.2">
      <c r="A114" s="46">
        <f t="shared" si="3"/>
        <v>1</v>
      </c>
      <c r="B114" s="27">
        <v>1</v>
      </c>
      <c r="E114" s="2" t="s">
        <v>121</v>
      </c>
      <c r="F114" s="75" t="s">
        <v>109</v>
      </c>
      <c r="H114" s="6" t="s">
        <v>123</v>
      </c>
      <c r="K114" s="39" t="s">
        <v>22</v>
      </c>
      <c r="L114" s="34">
        <v>135043</v>
      </c>
      <c r="O114" s="1" t="s">
        <v>907</v>
      </c>
    </row>
    <row r="115" spans="1:15" x14ac:dyDescent="0.2">
      <c r="A115" s="46">
        <f t="shared" si="3"/>
        <v>1</v>
      </c>
      <c r="B115" s="27">
        <v>1</v>
      </c>
      <c r="E115" s="13" t="s">
        <v>121</v>
      </c>
      <c r="F115" s="77" t="s">
        <v>115</v>
      </c>
      <c r="G115" s="49" t="s">
        <v>122</v>
      </c>
      <c r="H115" s="50" t="s">
        <v>123</v>
      </c>
      <c r="I115" s="90"/>
      <c r="J115" s="50"/>
      <c r="K115" s="40" t="s">
        <v>22</v>
      </c>
      <c r="L115" s="51">
        <v>135037</v>
      </c>
      <c r="M115" s="1" t="s">
        <v>1019</v>
      </c>
      <c r="O115" s="1" t="s">
        <v>907</v>
      </c>
    </row>
    <row r="116" spans="1:15" x14ac:dyDescent="0.2">
      <c r="A116" s="46">
        <f t="shared" si="3"/>
        <v>1</v>
      </c>
      <c r="B116" s="27">
        <v>1</v>
      </c>
      <c r="E116" s="2" t="s">
        <v>121</v>
      </c>
      <c r="F116" s="75" t="s">
        <v>96</v>
      </c>
      <c r="K116" s="39" t="s">
        <v>17</v>
      </c>
      <c r="O116" s="1" t="s">
        <v>907</v>
      </c>
    </row>
    <row r="117" spans="1:15" x14ac:dyDescent="0.2">
      <c r="A117" s="46">
        <f t="shared" si="3"/>
        <v>2</v>
      </c>
      <c r="B117" s="27">
        <v>1</v>
      </c>
      <c r="C117" s="27">
        <v>1</v>
      </c>
      <c r="E117" s="2" t="s">
        <v>121</v>
      </c>
      <c r="F117" s="75" t="s">
        <v>33</v>
      </c>
      <c r="H117" s="6" t="s">
        <v>123</v>
      </c>
      <c r="K117" s="39" t="s">
        <v>48</v>
      </c>
      <c r="L117" s="34" t="s">
        <v>129</v>
      </c>
      <c r="O117" s="1" t="s">
        <v>907</v>
      </c>
    </row>
    <row r="118" spans="1:15" x14ac:dyDescent="0.2">
      <c r="A118" s="46">
        <f t="shared" si="3"/>
        <v>0</v>
      </c>
      <c r="B118" s="27">
        <v>0</v>
      </c>
      <c r="E118" s="2" t="s">
        <v>121</v>
      </c>
      <c r="F118" s="75" t="s">
        <v>124</v>
      </c>
      <c r="G118" s="5" t="s">
        <v>125</v>
      </c>
      <c r="H118" s="10" t="s">
        <v>126</v>
      </c>
      <c r="I118" s="89" t="s">
        <v>920</v>
      </c>
      <c r="J118" s="10" t="s">
        <v>931</v>
      </c>
      <c r="K118" s="39" t="s">
        <v>48</v>
      </c>
      <c r="L118" s="34" t="s">
        <v>127</v>
      </c>
      <c r="M118" s="1" t="s">
        <v>128</v>
      </c>
      <c r="N118" s="1" t="s">
        <v>889</v>
      </c>
      <c r="O118" s="1" t="s">
        <v>907</v>
      </c>
    </row>
    <row r="119" spans="1:15" x14ac:dyDescent="0.2">
      <c r="A119" s="46">
        <f t="shared" si="3"/>
        <v>2</v>
      </c>
      <c r="B119" s="27">
        <v>1</v>
      </c>
      <c r="C119" s="27">
        <v>1</v>
      </c>
      <c r="E119" s="2" t="s">
        <v>121</v>
      </c>
      <c r="F119" s="75" t="s">
        <v>124</v>
      </c>
      <c r="G119" s="5" t="s">
        <v>1133</v>
      </c>
      <c r="H119" s="10" t="s">
        <v>1134</v>
      </c>
      <c r="I119" s="89" t="s">
        <v>920</v>
      </c>
      <c r="J119" s="10" t="s">
        <v>931</v>
      </c>
      <c r="K119" s="40" t="s">
        <v>22</v>
      </c>
      <c r="L119" s="34">
        <v>121120</v>
      </c>
      <c r="M119" s="1"/>
      <c r="O119" s="1" t="s">
        <v>907</v>
      </c>
    </row>
    <row r="120" spans="1:15" x14ac:dyDescent="0.2">
      <c r="A120" s="46">
        <f t="shared" si="3"/>
        <v>2</v>
      </c>
      <c r="B120" s="27">
        <v>1</v>
      </c>
      <c r="C120" s="27">
        <v>1</v>
      </c>
      <c r="E120" s="2" t="s">
        <v>131</v>
      </c>
      <c r="F120" s="75" t="s">
        <v>33</v>
      </c>
      <c r="H120" s="6" t="s">
        <v>132</v>
      </c>
      <c r="K120" s="48" t="s">
        <v>133</v>
      </c>
      <c r="L120" s="34">
        <v>149403</v>
      </c>
      <c r="O120" s="1" t="s">
        <v>907</v>
      </c>
    </row>
    <row r="121" spans="1:15" x14ac:dyDescent="0.2">
      <c r="A121" s="46">
        <f t="shared" si="3"/>
        <v>1</v>
      </c>
      <c r="B121" s="27">
        <v>1</v>
      </c>
      <c r="E121" s="2" t="s">
        <v>134</v>
      </c>
      <c r="F121" s="75" t="s">
        <v>139</v>
      </c>
      <c r="G121" s="5" t="s">
        <v>137</v>
      </c>
      <c r="H121" s="10" t="s">
        <v>135</v>
      </c>
      <c r="I121" s="89"/>
      <c r="J121" s="10"/>
      <c r="K121" s="39" t="s">
        <v>14</v>
      </c>
      <c r="M121" s="1" t="s">
        <v>140</v>
      </c>
      <c r="O121" s="1" t="s">
        <v>907</v>
      </c>
    </row>
    <row r="122" spans="1:15" x14ac:dyDescent="0.2">
      <c r="A122" s="46">
        <f t="shared" si="3"/>
        <v>2</v>
      </c>
      <c r="B122" s="27">
        <v>1</v>
      </c>
      <c r="C122" s="27">
        <v>1</v>
      </c>
      <c r="E122" s="2" t="s">
        <v>134</v>
      </c>
      <c r="F122" s="75" t="s">
        <v>42</v>
      </c>
      <c r="H122" s="10" t="s">
        <v>135</v>
      </c>
      <c r="I122" s="89"/>
      <c r="J122" s="10"/>
      <c r="K122" s="39" t="s">
        <v>22</v>
      </c>
      <c r="L122" s="34">
        <v>135310</v>
      </c>
      <c r="O122" s="1" t="s">
        <v>907</v>
      </c>
    </row>
    <row r="123" spans="1:15" x14ac:dyDescent="0.2">
      <c r="A123" s="46">
        <f t="shared" si="3"/>
        <v>2</v>
      </c>
      <c r="B123" s="27">
        <v>1</v>
      </c>
      <c r="C123" s="27">
        <v>1</v>
      </c>
      <c r="E123" s="2" t="s">
        <v>134</v>
      </c>
      <c r="F123" s="75" t="s">
        <v>27</v>
      </c>
      <c r="G123" s="5" t="s">
        <v>137</v>
      </c>
      <c r="H123" s="10" t="s">
        <v>135</v>
      </c>
      <c r="I123" s="89"/>
      <c r="J123" s="10"/>
      <c r="K123" s="39" t="s">
        <v>22</v>
      </c>
      <c r="L123" s="34">
        <v>135307</v>
      </c>
      <c r="N123" s="1" t="s">
        <v>889</v>
      </c>
      <c r="O123" s="1" t="s">
        <v>907</v>
      </c>
    </row>
    <row r="124" spans="1:15" x14ac:dyDescent="0.2">
      <c r="A124" s="46">
        <f t="shared" si="3"/>
        <v>2</v>
      </c>
      <c r="B124" s="27">
        <v>1</v>
      </c>
      <c r="C124" s="27">
        <v>1</v>
      </c>
      <c r="E124" s="2" t="s">
        <v>141</v>
      </c>
      <c r="F124" s="75" t="s">
        <v>12</v>
      </c>
      <c r="G124" s="5" t="s">
        <v>137</v>
      </c>
      <c r="H124" s="6" t="s">
        <v>135</v>
      </c>
      <c r="K124" s="39" t="s">
        <v>25</v>
      </c>
      <c r="O124" s="1" t="s">
        <v>907</v>
      </c>
    </row>
    <row r="125" spans="1:15" x14ac:dyDescent="0.2">
      <c r="A125" s="46">
        <f t="shared" ref="A125:A128" si="4">B125+C125</f>
        <v>0</v>
      </c>
      <c r="D125" s="27">
        <v>1</v>
      </c>
      <c r="E125" s="2" t="s">
        <v>134</v>
      </c>
      <c r="F125" s="75" t="s">
        <v>16</v>
      </c>
      <c r="K125" s="39" t="s">
        <v>25</v>
      </c>
      <c r="O125" s="1" t="s">
        <v>907</v>
      </c>
    </row>
    <row r="126" spans="1:15" x14ac:dyDescent="0.2">
      <c r="A126" s="46">
        <f t="shared" si="4"/>
        <v>4</v>
      </c>
      <c r="B126" s="27">
        <v>1</v>
      </c>
      <c r="C126" s="27">
        <v>3</v>
      </c>
      <c r="E126" s="2" t="s">
        <v>134</v>
      </c>
      <c r="F126" s="75" t="s">
        <v>33</v>
      </c>
      <c r="G126" s="5" t="s">
        <v>137</v>
      </c>
      <c r="H126" s="10" t="s">
        <v>135</v>
      </c>
      <c r="I126" s="89"/>
      <c r="J126" s="10"/>
      <c r="K126" s="39" t="s">
        <v>22</v>
      </c>
      <c r="L126" s="34">
        <v>135306</v>
      </c>
      <c r="N126" s="1" t="s">
        <v>889</v>
      </c>
      <c r="O126" s="1" t="s">
        <v>907</v>
      </c>
    </row>
    <row r="127" spans="1:15" x14ac:dyDescent="0.2">
      <c r="A127" s="46">
        <f t="shared" si="4"/>
        <v>2</v>
      </c>
      <c r="B127" s="27">
        <v>1</v>
      </c>
      <c r="C127" s="27">
        <v>1</v>
      </c>
      <c r="E127" s="2" t="s">
        <v>134</v>
      </c>
      <c r="F127" s="75" t="s">
        <v>33</v>
      </c>
      <c r="H127" s="6" t="s">
        <v>135</v>
      </c>
      <c r="K127" s="39" t="s">
        <v>48</v>
      </c>
      <c r="L127" s="34" t="s">
        <v>142</v>
      </c>
      <c r="O127" s="1" t="s">
        <v>907</v>
      </c>
    </row>
    <row r="128" spans="1:15" x14ac:dyDescent="0.2">
      <c r="A128" s="46">
        <f t="shared" si="4"/>
        <v>2</v>
      </c>
      <c r="B128" s="27">
        <v>1</v>
      </c>
      <c r="C128" s="27">
        <v>1</v>
      </c>
      <c r="E128" s="2" t="s">
        <v>134</v>
      </c>
      <c r="F128" s="75" t="s">
        <v>136</v>
      </c>
      <c r="G128" s="5" t="s">
        <v>137</v>
      </c>
      <c r="H128" s="10" t="s">
        <v>135</v>
      </c>
      <c r="I128" s="89"/>
      <c r="J128" s="10"/>
      <c r="K128" s="39" t="s">
        <v>48</v>
      </c>
      <c r="L128" s="34" t="s">
        <v>138</v>
      </c>
      <c r="M128" s="1" t="s">
        <v>128</v>
      </c>
      <c r="N128" s="1" t="s">
        <v>889</v>
      </c>
      <c r="O128" s="1" t="s">
        <v>907</v>
      </c>
    </row>
    <row r="129" spans="1:15" x14ac:dyDescent="0.2">
      <c r="A129" s="46">
        <v>1</v>
      </c>
      <c r="B129" s="27">
        <v>1</v>
      </c>
      <c r="E129" s="2" t="s">
        <v>143</v>
      </c>
      <c r="F129" s="75" t="s">
        <v>27</v>
      </c>
      <c r="G129" s="5" t="s">
        <v>1164</v>
      </c>
      <c r="H129" s="6" t="s">
        <v>144</v>
      </c>
      <c r="I129" s="27" t="s">
        <v>920</v>
      </c>
      <c r="J129" s="6" t="s">
        <v>914</v>
      </c>
      <c r="K129" s="39" t="s">
        <v>22</v>
      </c>
      <c r="L129" s="34">
        <v>142511</v>
      </c>
      <c r="O129" s="1"/>
    </row>
    <row r="130" spans="1:15" x14ac:dyDescent="0.2">
      <c r="A130" s="46">
        <f t="shared" ref="A130:A144" si="5">B130+C130</f>
        <v>1</v>
      </c>
      <c r="B130" s="27">
        <v>1</v>
      </c>
      <c r="E130" s="2" t="s">
        <v>143</v>
      </c>
      <c r="F130" s="75" t="s">
        <v>27</v>
      </c>
      <c r="H130" s="6" t="s">
        <v>144</v>
      </c>
      <c r="I130" s="27" t="s">
        <v>920</v>
      </c>
      <c r="J130" s="6" t="s">
        <v>923</v>
      </c>
      <c r="K130" s="39" t="s">
        <v>39</v>
      </c>
      <c r="L130" s="34">
        <v>553713</v>
      </c>
      <c r="O130" s="1" t="s">
        <v>907</v>
      </c>
    </row>
    <row r="131" spans="1:15" x14ac:dyDescent="0.2">
      <c r="A131" s="46">
        <f t="shared" si="5"/>
        <v>1</v>
      </c>
      <c r="B131" s="27">
        <v>1</v>
      </c>
      <c r="E131" s="2" t="s">
        <v>143</v>
      </c>
      <c r="F131" s="75" t="s">
        <v>85</v>
      </c>
      <c r="H131" s="6" t="s">
        <v>144</v>
      </c>
      <c r="I131" s="27" t="s">
        <v>920</v>
      </c>
      <c r="J131" s="6" t="s">
        <v>923</v>
      </c>
      <c r="K131" s="39" t="s">
        <v>22</v>
      </c>
      <c r="L131" s="34">
        <v>142508</v>
      </c>
      <c r="O131" s="1" t="s">
        <v>907</v>
      </c>
    </row>
    <row r="132" spans="1:15" x14ac:dyDescent="0.2">
      <c r="A132" s="46">
        <f t="shared" si="5"/>
        <v>2</v>
      </c>
      <c r="B132" s="27">
        <v>1</v>
      </c>
      <c r="C132" s="27">
        <v>1</v>
      </c>
      <c r="E132" s="2" t="s">
        <v>143</v>
      </c>
      <c r="F132" s="75" t="s">
        <v>33</v>
      </c>
      <c r="H132" s="6" t="s">
        <v>144</v>
      </c>
      <c r="I132" s="27" t="s">
        <v>920</v>
      </c>
      <c r="J132" s="6" t="s">
        <v>923</v>
      </c>
      <c r="K132" s="39" t="s">
        <v>22</v>
      </c>
      <c r="L132" s="34">
        <v>142504</v>
      </c>
      <c r="O132" s="1" t="s">
        <v>907</v>
      </c>
    </row>
    <row r="133" spans="1:15" x14ac:dyDescent="0.2">
      <c r="A133" s="46">
        <f t="shared" si="5"/>
        <v>1</v>
      </c>
      <c r="B133" s="27">
        <v>1</v>
      </c>
      <c r="E133" s="2" t="s">
        <v>143</v>
      </c>
      <c r="F133" s="75" t="s">
        <v>586</v>
      </c>
      <c r="H133" s="6" t="s">
        <v>993</v>
      </c>
      <c r="I133" s="27" t="s">
        <v>920</v>
      </c>
      <c r="J133" s="6" t="s">
        <v>994</v>
      </c>
      <c r="K133" s="39" t="s">
        <v>870</v>
      </c>
      <c r="L133" s="34" t="s">
        <v>992</v>
      </c>
      <c r="M133" s="2" t="s">
        <v>1003</v>
      </c>
      <c r="O133" s="1" t="s">
        <v>995</v>
      </c>
    </row>
    <row r="134" spans="1:15" x14ac:dyDescent="0.2">
      <c r="A134" s="46">
        <f t="shared" si="5"/>
        <v>1</v>
      </c>
      <c r="B134" s="27">
        <v>1</v>
      </c>
      <c r="E134" s="2" t="s">
        <v>145</v>
      </c>
      <c r="F134" s="75" t="s">
        <v>16</v>
      </c>
      <c r="H134" s="6" t="s">
        <v>146</v>
      </c>
      <c r="K134" s="39" t="s">
        <v>48</v>
      </c>
      <c r="L134" s="34" t="s">
        <v>147</v>
      </c>
      <c r="O134" s="1" t="s">
        <v>907</v>
      </c>
    </row>
    <row r="135" spans="1:15" x14ac:dyDescent="0.2">
      <c r="A135" s="46">
        <f t="shared" si="5"/>
        <v>2</v>
      </c>
      <c r="B135" s="27">
        <v>1</v>
      </c>
      <c r="C135" s="27">
        <v>1</v>
      </c>
      <c r="E135" s="2" t="s">
        <v>145</v>
      </c>
      <c r="F135" s="75" t="s">
        <v>148</v>
      </c>
      <c r="H135" s="10" t="s">
        <v>149</v>
      </c>
      <c r="I135" s="89" t="s">
        <v>920</v>
      </c>
      <c r="J135" s="10" t="s">
        <v>923</v>
      </c>
      <c r="K135" s="39" t="s">
        <v>22</v>
      </c>
      <c r="L135" s="34">
        <v>123323</v>
      </c>
      <c r="N135" s="1" t="s">
        <v>888</v>
      </c>
      <c r="O135" s="1" t="s">
        <v>907</v>
      </c>
    </row>
    <row r="136" spans="1:15" x14ac:dyDescent="0.2">
      <c r="A136" s="46">
        <f t="shared" si="5"/>
        <v>1</v>
      </c>
      <c r="B136" s="27">
        <v>1</v>
      </c>
      <c r="E136" s="2" t="s">
        <v>145</v>
      </c>
      <c r="F136" s="75" t="s">
        <v>30</v>
      </c>
      <c r="G136" s="5" t="s">
        <v>922</v>
      </c>
      <c r="H136" s="10" t="s">
        <v>149</v>
      </c>
      <c r="I136" s="89" t="s">
        <v>920</v>
      </c>
      <c r="J136" s="10" t="s">
        <v>923</v>
      </c>
      <c r="K136" s="39" t="s">
        <v>22</v>
      </c>
      <c r="L136" s="34">
        <v>123307</v>
      </c>
      <c r="O136" s="1" t="s">
        <v>907</v>
      </c>
    </row>
    <row r="137" spans="1:15" x14ac:dyDescent="0.2">
      <c r="A137" s="46">
        <f t="shared" si="5"/>
        <v>2</v>
      </c>
      <c r="B137" s="27">
        <v>1</v>
      </c>
      <c r="C137" s="27">
        <v>1</v>
      </c>
      <c r="E137" s="2" t="s">
        <v>150</v>
      </c>
      <c r="F137" s="75" t="s">
        <v>42</v>
      </c>
      <c r="H137" s="6" t="s">
        <v>151</v>
      </c>
      <c r="K137" s="39" t="s">
        <v>22</v>
      </c>
      <c r="L137" s="34">
        <v>134711</v>
      </c>
      <c r="O137" s="1" t="s">
        <v>907</v>
      </c>
    </row>
    <row r="138" spans="1:15" x14ac:dyDescent="0.2">
      <c r="A138" s="46">
        <f t="shared" si="5"/>
        <v>1</v>
      </c>
      <c r="B138" s="27">
        <v>1</v>
      </c>
      <c r="E138" s="2" t="s">
        <v>152</v>
      </c>
      <c r="F138" s="75" t="s">
        <v>116</v>
      </c>
      <c r="H138" s="17" t="s">
        <v>153</v>
      </c>
      <c r="I138" s="91"/>
      <c r="J138" s="17"/>
      <c r="K138" s="39" t="s">
        <v>22</v>
      </c>
      <c r="L138" s="34">
        <v>115929</v>
      </c>
      <c r="O138" s="1" t="s">
        <v>907</v>
      </c>
    </row>
    <row r="139" spans="1:15" x14ac:dyDescent="0.2">
      <c r="A139" s="46">
        <f t="shared" si="5"/>
        <v>2</v>
      </c>
      <c r="B139" s="27">
        <v>1</v>
      </c>
      <c r="C139" s="27">
        <v>1</v>
      </c>
      <c r="E139" s="2" t="s">
        <v>152</v>
      </c>
      <c r="F139" s="75" t="s">
        <v>88</v>
      </c>
      <c r="H139" s="17" t="s">
        <v>153</v>
      </c>
      <c r="I139" s="91"/>
      <c r="J139" s="17"/>
      <c r="K139" s="39" t="s">
        <v>22</v>
      </c>
      <c r="L139" s="34">
        <v>115937</v>
      </c>
      <c r="N139" s="1" t="s">
        <v>886</v>
      </c>
      <c r="O139" s="1" t="s">
        <v>907</v>
      </c>
    </row>
    <row r="140" spans="1:15" x14ac:dyDescent="0.2">
      <c r="A140" s="46">
        <f t="shared" si="5"/>
        <v>3</v>
      </c>
      <c r="B140" s="27">
        <v>1</v>
      </c>
      <c r="C140" s="27">
        <v>2</v>
      </c>
      <c r="E140" s="2" t="s">
        <v>152</v>
      </c>
      <c r="F140" s="75" t="s">
        <v>33</v>
      </c>
      <c r="H140" s="17">
        <v>128024</v>
      </c>
      <c r="I140" s="91"/>
      <c r="J140" s="17"/>
      <c r="K140" s="39" t="s">
        <v>22</v>
      </c>
      <c r="L140" s="34">
        <v>115904</v>
      </c>
      <c r="N140" s="1" t="s">
        <v>886</v>
      </c>
      <c r="O140" s="1" t="s">
        <v>907</v>
      </c>
    </row>
    <row r="141" spans="1:15" x14ac:dyDescent="0.2">
      <c r="A141" s="46">
        <f t="shared" si="5"/>
        <v>1</v>
      </c>
      <c r="B141" s="27">
        <v>1</v>
      </c>
      <c r="E141" s="2" t="s">
        <v>154</v>
      </c>
      <c r="F141" s="75" t="s">
        <v>27</v>
      </c>
      <c r="H141" s="6" t="s">
        <v>155</v>
      </c>
      <c r="K141" s="39" t="s">
        <v>22</v>
      </c>
      <c r="L141" s="34">
        <v>106303</v>
      </c>
      <c r="O141" s="1" t="s">
        <v>907</v>
      </c>
    </row>
    <row r="142" spans="1:15" x14ac:dyDescent="0.2">
      <c r="A142" s="46">
        <f t="shared" si="5"/>
        <v>1</v>
      </c>
      <c r="B142" s="27">
        <v>1</v>
      </c>
      <c r="E142" s="2" t="s">
        <v>156</v>
      </c>
      <c r="F142" s="75" t="s">
        <v>27</v>
      </c>
      <c r="H142" s="6" t="s">
        <v>157</v>
      </c>
      <c r="K142" s="39" t="s">
        <v>48</v>
      </c>
      <c r="L142" s="34" t="s">
        <v>158</v>
      </c>
      <c r="O142" s="1" t="s">
        <v>907</v>
      </c>
    </row>
    <row r="143" spans="1:15" x14ac:dyDescent="0.2">
      <c r="A143" s="46">
        <f t="shared" si="5"/>
        <v>1</v>
      </c>
      <c r="B143" s="27">
        <v>1</v>
      </c>
      <c r="E143" s="2" t="s">
        <v>162</v>
      </c>
      <c r="F143" s="75" t="s">
        <v>42</v>
      </c>
      <c r="G143" s="5" t="s">
        <v>160</v>
      </c>
      <c r="H143" s="17" t="s">
        <v>161</v>
      </c>
      <c r="I143" s="91"/>
      <c r="J143" s="17"/>
      <c r="K143" s="39" t="s">
        <v>54</v>
      </c>
      <c r="L143" s="34">
        <v>140208</v>
      </c>
      <c r="O143" s="1" t="s">
        <v>907</v>
      </c>
    </row>
    <row r="144" spans="1:15" x14ac:dyDescent="0.2">
      <c r="A144" s="46">
        <f t="shared" si="5"/>
        <v>1</v>
      </c>
      <c r="B144" s="27">
        <v>1</v>
      </c>
      <c r="E144" s="2" t="s">
        <v>159</v>
      </c>
      <c r="F144" s="75" t="s">
        <v>33</v>
      </c>
      <c r="G144" s="5" t="s">
        <v>160</v>
      </c>
      <c r="H144" s="17" t="s">
        <v>161</v>
      </c>
      <c r="I144" s="91"/>
      <c r="J144" s="17"/>
      <c r="K144" s="39" t="s">
        <v>22</v>
      </c>
      <c r="L144" s="34">
        <v>140204</v>
      </c>
      <c r="O144" s="1" t="s">
        <v>907</v>
      </c>
    </row>
    <row r="145" spans="1:15" x14ac:dyDescent="0.2">
      <c r="A145" s="46">
        <v>1</v>
      </c>
      <c r="B145" s="27">
        <v>1</v>
      </c>
      <c r="E145" s="2" t="s">
        <v>905</v>
      </c>
      <c r="F145" s="75" t="s">
        <v>313</v>
      </c>
      <c r="H145" s="6" t="s">
        <v>1187</v>
      </c>
      <c r="I145" s="89" t="s">
        <v>920</v>
      </c>
      <c r="J145" s="6" t="s">
        <v>914</v>
      </c>
      <c r="K145" s="39" t="s">
        <v>22</v>
      </c>
      <c r="L145" s="34">
        <v>158023</v>
      </c>
      <c r="M145" s="1"/>
      <c r="O145" s="1"/>
    </row>
    <row r="146" spans="1:15" x14ac:dyDescent="0.2">
      <c r="A146" s="46">
        <f>B146+C146</f>
        <v>1</v>
      </c>
      <c r="B146" s="27">
        <v>1</v>
      </c>
      <c r="E146" s="2" t="s">
        <v>163</v>
      </c>
      <c r="F146" s="75" t="s">
        <v>57</v>
      </c>
      <c r="G146" s="5" t="s">
        <v>983</v>
      </c>
      <c r="H146" s="6">
        <v>93</v>
      </c>
      <c r="I146" s="89" t="s">
        <v>920</v>
      </c>
      <c r="J146" s="6" t="s">
        <v>941</v>
      </c>
      <c r="K146" s="39" t="s">
        <v>22</v>
      </c>
      <c r="L146" s="34">
        <v>101314</v>
      </c>
      <c r="M146" s="1"/>
      <c r="O146" s="1"/>
    </row>
    <row r="147" spans="1:15" x14ac:dyDescent="0.2">
      <c r="A147" s="46">
        <f>B147+C147</f>
        <v>1</v>
      </c>
      <c r="B147" s="27">
        <v>1</v>
      </c>
      <c r="E147" s="2" t="s">
        <v>163</v>
      </c>
      <c r="F147" s="75" t="s">
        <v>111</v>
      </c>
      <c r="G147" s="5" t="s">
        <v>983</v>
      </c>
      <c r="H147" s="6">
        <v>93</v>
      </c>
      <c r="I147" s="89" t="s">
        <v>920</v>
      </c>
      <c r="J147" s="6" t="s">
        <v>941</v>
      </c>
      <c r="K147" s="39" t="s">
        <v>22</v>
      </c>
      <c r="L147" s="34">
        <v>101328</v>
      </c>
      <c r="O147" s="1" t="s">
        <v>907</v>
      </c>
    </row>
    <row r="148" spans="1:15" x14ac:dyDescent="0.2">
      <c r="A148" s="46">
        <f>B148+C148</f>
        <v>1</v>
      </c>
      <c r="B148" s="27">
        <v>1</v>
      </c>
      <c r="E148" s="2" t="s">
        <v>163</v>
      </c>
      <c r="F148" s="75" t="s">
        <v>16</v>
      </c>
      <c r="G148" s="5" t="s">
        <v>983</v>
      </c>
      <c r="H148" s="6">
        <v>93</v>
      </c>
      <c r="I148" s="89" t="s">
        <v>920</v>
      </c>
      <c r="J148" s="6" t="s">
        <v>941</v>
      </c>
      <c r="K148" s="39" t="s">
        <v>22</v>
      </c>
      <c r="L148" s="34">
        <v>101303</v>
      </c>
      <c r="M148" s="1"/>
      <c r="O148" s="1" t="s">
        <v>908</v>
      </c>
    </row>
    <row r="149" spans="1:15" x14ac:dyDescent="0.2">
      <c r="A149" s="46">
        <v>2</v>
      </c>
      <c r="B149" s="27">
        <v>1</v>
      </c>
      <c r="C149" s="27">
        <v>1</v>
      </c>
      <c r="E149" s="2" t="s">
        <v>163</v>
      </c>
      <c r="F149" s="75" t="s">
        <v>85</v>
      </c>
      <c r="G149" s="5" t="s">
        <v>983</v>
      </c>
      <c r="H149" s="6">
        <v>93</v>
      </c>
      <c r="I149" s="89" t="s">
        <v>920</v>
      </c>
      <c r="J149" s="6" t="s">
        <v>941</v>
      </c>
      <c r="K149" s="39" t="s">
        <v>22</v>
      </c>
      <c r="L149" s="34">
        <v>101332</v>
      </c>
      <c r="O149" s="1" t="s">
        <v>907</v>
      </c>
    </row>
    <row r="150" spans="1:15" x14ac:dyDescent="0.2">
      <c r="A150" s="46">
        <f t="shared" ref="A150:A181" si="6">B150+C150</f>
        <v>1</v>
      </c>
      <c r="B150" s="27">
        <v>1</v>
      </c>
      <c r="E150" s="2" t="s">
        <v>163</v>
      </c>
      <c r="F150" s="75" t="s">
        <v>110</v>
      </c>
      <c r="G150" s="5" t="s">
        <v>983</v>
      </c>
      <c r="H150" s="6">
        <v>93</v>
      </c>
      <c r="I150" s="89" t="s">
        <v>920</v>
      </c>
      <c r="J150" s="6" t="s">
        <v>941</v>
      </c>
      <c r="K150" s="39" t="s">
        <v>22</v>
      </c>
      <c r="L150" s="34">
        <v>101337</v>
      </c>
      <c r="M150" s="1"/>
      <c r="N150" s="1">
        <v>2000</v>
      </c>
      <c r="O150" s="1"/>
    </row>
    <row r="151" spans="1:15" x14ac:dyDescent="0.2">
      <c r="A151" s="46">
        <f t="shared" si="6"/>
        <v>1</v>
      </c>
      <c r="B151" s="27">
        <v>1</v>
      </c>
      <c r="E151" s="2" t="s">
        <v>163</v>
      </c>
      <c r="F151" s="75" t="s">
        <v>33</v>
      </c>
      <c r="G151" s="5" t="s">
        <v>940</v>
      </c>
      <c r="H151" s="17" t="s">
        <v>166</v>
      </c>
      <c r="I151" s="91"/>
      <c r="J151" s="17"/>
      <c r="K151" s="39" t="s">
        <v>22</v>
      </c>
      <c r="L151" s="34">
        <v>156605</v>
      </c>
      <c r="O151" s="1" t="s">
        <v>907</v>
      </c>
    </row>
    <row r="152" spans="1:15" x14ac:dyDescent="0.2">
      <c r="A152" s="46">
        <f t="shared" si="6"/>
        <v>1</v>
      </c>
      <c r="B152" s="27">
        <v>1</v>
      </c>
      <c r="E152" s="2" t="s">
        <v>163</v>
      </c>
      <c r="F152" s="75" t="s">
        <v>33</v>
      </c>
      <c r="H152" s="6" t="s">
        <v>167</v>
      </c>
      <c r="K152" s="39" t="s">
        <v>31</v>
      </c>
      <c r="L152" s="34">
        <v>561727</v>
      </c>
      <c r="O152" s="1" t="s">
        <v>907</v>
      </c>
    </row>
    <row r="153" spans="1:15" x14ac:dyDescent="0.2">
      <c r="A153" s="46">
        <f t="shared" si="6"/>
        <v>3</v>
      </c>
      <c r="B153" s="27">
        <v>1</v>
      </c>
      <c r="C153" s="27">
        <v>2</v>
      </c>
      <c r="E153" s="2" t="s">
        <v>163</v>
      </c>
      <c r="F153" s="75" t="s">
        <v>164</v>
      </c>
      <c r="G153" s="5" t="s">
        <v>983</v>
      </c>
      <c r="H153" s="17">
        <v>93</v>
      </c>
      <c r="I153" s="89" t="s">
        <v>920</v>
      </c>
      <c r="J153" s="6" t="s">
        <v>941</v>
      </c>
      <c r="K153" s="39" t="s">
        <v>22</v>
      </c>
      <c r="L153" s="34">
        <v>101302</v>
      </c>
      <c r="O153" s="1" t="s">
        <v>907</v>
      </c>
    </row>
    <row r="154" spans="1:15" x14ac:dyDescent="0.2">
      <c r="A154" s="46">
        <f t="shared" si="6"/>
        <v>2</v>
      </c>
      <c r="B154" s="27">
        <v>1</v>
      </c>
      <c r="C154" s="27">
        <v>1</v>
      </c>
      <c r="E154" s="2" t="s">
        <v>163</v>
      </c>
      <c r="F154" s="75" t="s">
        <v>978</v>
      </c>
      <c r="G154" s="5" t="s">
        <v>983</v>
      </c>
      <c r="H154" s="6">
        <v>93</v>
      </c>
      <c r="I154" s="89" t="s">
        <v>920</v>
      </c>
      <c r="J154" s="6" t="s">
        <v>941</v>
      </c>
      <c r="K154" s="39" t="s">
        <v>22</v>
      </c>
      <c r="L154" s="34">
        <v>101330</v>
      </c>
      <c r="M154" s="1" t="s">
        <v>1101</v>
      </c>
      <c r="O154" s="1" t="s">
        <v>984</v>
      </c>
    </row>
    <row r="155" spans="1:15" x14ac:dyDescent="0.2">
      <c r="A155" s="46">
        <f t="shared" si="6"/>
        <v>2</v>
      </c>
      <c r="B155" s="27">
        <v>1</v>
      </c>
      <c r="C155" s="27">
        <v>1</v>
      </c>
      <c r="E155" s="2" t="s">
        <v>168</v>
      </c>
      <c r="F155" s="75" t="s">
        <v>26</v>
      </c>
      <c r="G155" s="5" t="s">
        <v>169</v>
      </c>
      <c r="H155" s="6" t="s">
        <v>170</v>
      </c>
      <c r="I155" s="84" t="s">
        <v>920</v>
      </c>
      <c r="J155" s="30" t="s">
        <v>910</v>
      </c>
      <c r="K155" s="39" t="s">
        <v>22</v>
      </c>
      <c r="L155" s="34">
        <v>142408</v>
      </c>
      <c r="O155" s="1" t="s">
        <v>908</v>
      </c>
    </row>
    <row r="156" spans="1:15" x14ac:dyDescent="0.2">
      <c r="A156" s="47">
        <f t="shared" si="6"/>
        <v>2</v>
      </c>
      <c r="B156" s="27">
        <v>1</v>
      </c>
      <c r="C156" s="27">
        <v>1</v>
      </c>
      <c r="E156" s="25" t="s">
        <v>168</v>
      </c>
      <c r="F156" s="81" t="s">
        <v>139</v>
      </c>
      <c r="G156" s="5" t="s">
        <v>169</v>
      </c>
      <c r="H156" s="30" t="s">
        <v>170</v>
      </c>
      <c r="I156" s="84" t="s">
        <v>920</v>
      </c>
      <c r="J156" s="30" t="s">
        <v>910</v>
      </c>
      <c r="K156" s="43" t="s">
        <v>22</v>
      </c>
      <c r="L156" s="31">
        <v>142419</v>
      </c>
      <c r="O156" s="1" t="s">
        <v>944</v>
      </c>
    </row>
    <row r="157" spans="1:15" x14ac:dyDescent="0.2">
      <c r="A157" s="47">
        <f t="shared" si="6"/>
        <v>1</v>
      </c>
      <c r="B157" s="27">
        <v>1</v>
      </c>
      <c r="E157" s="25" t="s">
        <v>168</v>
      </c>
      <c r="F157" s="81" t="s">
        <v>267</v>
      </c>
      <c r="G157" s="5" t="s">
        <v>169</v>
      </c>
      <c r="H157" s="30" t="s">
        <v>170</v>
      </c>
      <c r="I157" s="84" t="s">
        <v>920</v>
      </c>
      <c r="J157" s="30" t="s">
        <v>910</v>
      </c>
      <c r="K157" s="43" t="s">
        <v>22</v>
      </c>
      <c r="L157" s="31">
        <v>142416</v>
      </c>
      <c r="N157" s="1" t="s">
        <v>917</v>
      </c>
      <c r="O157" s="1" t="s">
        <v>913</v>
      </c>
    </row>
    <row r="158" spans="1:15" x14ac:dyDescent="0.2">
      <c r="A158" s="47">
        <f t="shared" si="6"/>
        <v>1</v>
      </c>
      <c r="B158" s="27">
        <v>1</v>
      </c>
      <c r="E158" s="25" t="s">
        <v>168</v>
      </c>
      <c r="F158" s="81" t="s">
        <v>85</v>
      </c>
      <c r="G158" s="5" t="s">
        <v>169</v>
      </c>
      <c r="H158" s="30" t="s">
        <v>170</v>
      </c>
      <c r="I158" s="84" t="s">
        <v>920</v>
      </c>
      <c r="J158" s="30" t="s">
        <v>910</v>
      </c>
      <c r="K158" s="43" t="s">
        <v>22</v>
      </c>
      <c r="L158" s="31">
        <v>142421</v>
      </c>
      <c r="O158" s="1" t="s">
        <v>913</v>
      </c>
    </row>
    <row r="159" spans="1:15" x14ac:dyDescent="0.2">
      <c r="A159" s="46">
        <f t="shared" si="6"/>
        <v>1</v>
      </c>
      <c r="B159" s="27">
        <v>1</v>
      </c>
      <c r="E159" s="2" t="s">
        <v>168</v>
      </c>
      <c r="F159" s="75" t="s">
        <v>33</v>
      </c>
      <c r="G159" s="5" t="s">
        <v>169</v>
      </c>
      <c r="H159" s="6" t="s">
        <v>170</v>
      </c>
      <c r="I159" s="84" t="s">
        <v>920</v>
      </c>
      <c r="J159" s="30" t="s">
        <v>910</v>
      </c>
      <c r="K159" s="39" t="s">
        <v>22</v>
      </c>
      <c r="L159" s="34">
        <v>142403</v>
      </c>
      <c r="O159" s="1" t="s">
        <v>907</v>
      </c>
    </row>
    <row r="160" spans="1:15" x14ac:dyDescent="0.2">
      <c r="A160" s="46">
        <f t="shared" si="6"/>
        <v>2</v>
      </c>
      <c r="B160" s="27">
        <v>1</v>
      </c>
      <c r="C160" s="27">
        <v>1</v>
      </c>
      <c r="E160" s="2" t="s">
        <v>171</v>
      </c>
      <c r="F160" s="75" t="s">
        <v>139</v>
      </c>
      <c r="G160" s="5" t="s">
        <v>928</v>
      </c>
      <c r="H160" s="10" t="s">
        <v>173</v>
      </c>
      <c r="I160" s="89" t="s">
        <v>920</v>
      </c>
      <c r="J160" s="10" t="s">
        <v>929</v>
      </c>
      <c r="K160" s="39" t="s">
        <v>22</v>
      </c>
      <c r="L160" s="34">
        <v>144024</v>
      </c>
      <c r="O160" s="1" t="s">
        <v>907</v>
      </c>
    </row>
    <row r="161" spans="1:15" x14ac:dyDescent="0.2">
      <c r="A161" s="46">
        <f t="shared" si="6"/>
        <v>1</v>
      </c>
      <c r="B161" s="27">
        <v>1</v>
      </c>
      <c r="E161" s="2" t="s">
        <v>171</v>
      </c>
      <c r="F161" s="75" t="s">
        <v>267</v>
      </c>
      <c r="G161" s="5" t="s">
        <v>928</v>
      </c>
      <c r="H161" s="10" t="s">
        <v>173</v>
      </c>
      <c r="I161" s="89" t="s">
        <v>920</v>
      </c>
      <c r="J161" s="10" t="s">
        <v>929</v>
      </c>
      <c r="K161" s="39" t="s">
        <v>22</v>
      </c>
      <c r="L161" s="34">
        <v>144020</v>
      </c>
      <c r="O161" s="1" t="s">
        <v>913</v>
      </c>
    </row>
    <row r="162" spans="1:15" x14ac:dyDescent="0.2">
      <c r="A162" s="46">
        <f t="shared" si="6"/>
        <v>1</v>
      </c>
      <c r="B162" s="27">
        <v>1</v>
      </c>
      <c r="E162" s="2" t="s">
        <v>171</v>
      </c>
      <c r="F162" s="75" t="s">
        <v>42</v>
      </c>
      <c r="G162" s="5" t="s">
        <v>928</v>
      </c>
      <c r="H162" s="11" t="s">
        <v>173</v>
      </c>
      <c r="I162" s="87"/>
      <c r="J162" s="11"/>
      <c r="K162" s="39" t="s">
        <v>48</v>
      </c>
      <c r="L162" s="34" t="s">
        <v>175</v>
      </c>
      <c r="N162" s="1" t="s">
        <v>889</v>
      </c>
      <c r="O162" s="1" t="s">
        <v>907</v>
      </c>
    </row>
    <row r="163" spans="1:15" x14ac:dyDescent="0.2">
      <c r="A163" s="46">
        <f t="shared" si="6"/>
        <v>2</v>
      </c>
      <c r="B163" s="27">
        <v>1</v>
      </c>
      <c r="C163" s="27">
        <v>1</v>
      </c>
      <c r="E163" s="2" t="s">
        <v>171</v>
      </c>
      <c r="F163" s="75" t="s">
        <v>42</v>
      </c>
      <c r="G163" s="5" t="s">
        <v>928</v>
      </c>
      <c r="H163" s="10" t="s">
        <v>173</v>
      </c>
      <c r="I163" s="89" t="s">
        <v>920</v>
      </c>
      <c r="J163" s="10" t="s">
        <v>929</v>
      </c>
      <c r="K163" s="39" t="s">
        <v>22</v>
      </c>
      <c r="L163" s="34">
        <v>144014</v>
      </c>
      <c r="N163" s="1" t="s">
        <v>889</v>
      </c>
      <c r="O163" s="1" t="s">
        <v>907</v>
      </c>
    </row>
    <row r="164" spans="1:15" x14ac:dyDescent="0.2">
      <c r="A164" s="46">
        <f t="shared" si="6"/>
        <v>2</v>
      </c>
      <c r="B164" s="27">
        <v>1</v>
      </c>
      <c r="C164" s="27">
        <v>1</v>
      </c>
      <c r="E164" s="2" t="s">
        <v>171</v>
      </c>
      <c r="F164" s="75" t="s">
        <v>30</v>
      </c>
      <c r="G164" s="5" t="s">
        <v>928</v>
      </c>
      <c r="H164" s="10" t="s">
        <v>173</v>
      </c>
      <c r="I164" s="89" t="s">
        <v>920</v>
      </c>
      <c r="J164" s="10" t="s">
        <v>929</v>
      </c>
      <c r="K164" s="39" t="s">
        <v>22</v>
      </c>
      <c r="L164" s="34">
        <v>144006</v>
      </c>
      <c r="O164" s="1" t="s">
        <v>908</v>
      </c>
    </row>
    <row r="165" spans="1:15" x14ac:dyDescent="0.2">
      <c r="A165" s="46">
        <f t="shared" si="6"/>
        <v>3</v>
      </c>
      <c r="B165" s="27">
        <v>1</v>
      </c>
      <c r="C165" s="27">
        <v>2</v>
      </c>
      <c r="E165" s="2" t="s">
        <v>171</v>
      </c>
      <c r="F165" s="75" t="s">
        <v>172</v>
      </c>
      <c r="G165" s="5" t="s">
        <v>928</v>
      </c>
      <c r="H165" s="11" t="s">
        <v>173</v>
      </c>
      <c r="I165" s="87"/>
      <c r="J165" s="11"/>
      <c r="K165" s="39" t="s">
        <v>48</v>
      </c>
      <c r="L165" s="34" t="s">
        <v>174</v>
      </c>
      <c r="N165" s="1" t="s">
        <v>889</v>
      </c>
      <c r="O165" s="1" t="s">
        <v>907</v>
      </c>
    </row>
    <row r="166" spans="1:15" x14ac:dyDescent="0.2">
      <c r="A166" s="46">
        <f t="shared" si="6"/>
        <v>2</v>
      </c>
      <c r="B166" s="27">
        <v>1</v>
      </c>
      <c r="C166" s="27">
        <v>1</v>
      </c>
      <c r="E166" s="2" t="s">
        <v>176</v>
      </c>
      <c r="F166" s="75" t="s">
        <v>177</v>
      </c>
      <c r="G166" s="5" t="s">
        <v>928</v>
      </c>
      <c r="H166" s="10" t="s">
        <v>173</v>
      </c>
      <c r="I166" s="89" t="s">
        <v>920</v>
      </c>
      <c r="J166" s="10" t="s">
        <v>929</v>
      </c>
      <c r="K166" s="39" t="s">
        <v>22</v>
      </c>
      <c r="L166" s="34">
        <v>144016</v>
      </c>
      <c r="N166" s="1" t="s">
        <v>887</v>
      </c>
      <c r="O166" s="1" t="s">
        <v>907</v>
      </c>
    </row>
    <row r="167" spans="1:15" x14ac:dyDescent="0.2">
      <c r="A167" s="67">
        <f t="shared" si="6"/>
        <v>2</v>
      </c>
      <c r="B167" s="27">
        <v>1</v>
      </c>
      <c r="C167" s="27">
        <v>1</v>
      </c>
      <c r="E167" s="13" t="s">
        <v>1072</v>
      </c>
      <c r="F167" s="75" t="s">
        <v>16</v>
      </c>
      <c r="G167" s="5" t="s">
        <v>470</v>
      </c>
      <c r="H167" s="6" t="s">
        <v>1074</v>
      </c>
      <c r="I167" s="27" t="s">
        <v>920</v>
      </c>
      <c r="J167" s="6" t="s">
        <v>317</v>
      </c>
      <c r="K167" s="39" t="s">
        <v>22</v>
      </c>
      <c r="L167" s="34">
        <v>106603</v>
      </c>
    </row>
    <row r="168" spans="1:15" x14ac:dyDescent="0.2">
      <c r="A168" s="46">
        <f t="shared" si="6"/>
        <v>1</v>
      </c>
      <c r="B168" s="27">
        <v>1</v>
      </c>
      <c r="E168" s="2" t="s">
        <v>1072</v>
      </c>
      <c r="F168" s="75" t="s">
        <v>978</v>
      </c>
      <c r="G168" s="5" t="s">
        <v>1073</v>
      </c>
      <c r="H168" s="10" t="s">
        <v>1074</v>
      </c>
      <c r="I168" s="89" t="s">
        <v>920</v>
      </c>
      <c r="J168" s="10" t="s">
        <v>317</v>
      </c>
      <c r="K168" s="39" t="s">
        <v>22</v>
      </c>
      <c r="L168" s="34">
        <v>106611</v>
      </c>
      <c r="O168" s="1" t="s">
        <v>1075</v>
      </c>
    </row>
    <row r="169" spans="1:15" x14ac:dyDescent="0.2">
      <c r="A169" s="46">
        <f t="shared" si="6"/>
        <v>1</v>
      </c>
      <c r="B169" s="27">
        <v>1</v>
      </c>
      <c r="E169" s="2" t="s">
        <v>178</v>
      </c>
      <c r="F169" s="75" t="s">
        <v>16</v>
      </c>
      <c r="H169" s="6" t="s">
        <v>180</v>
      </c>
      <c r="K169" s="39" t="s">
        <v>48</v>
      </c>
      <c r="L169" s="34" t="s">
        <v>181</v>
      </c>
      <c r="O169" s="1" t="s">
        <v>907</v>
      </c>
    </row>
    <row r="170" spans="1:15" x14ac:dyDescent="0.2">
      <c r="A170" s="46">
        <f t="shared" si="6"/>
        <v>1</v>
      </c>
      <c r="B170" s="27">
        <v>1</v>
      </c>
      <c r="E170" s="2" t="s">
        <v>178</v>
      </c>
      <c r="F170" s="75" t="s">
        <v>33</v>
      </c>
      <c r="G170" s="5" t="s">
        <v>179</v>
      </c>
      <c r="H170" s="6" t="s">
        <v>180</v>
      </c>
      <c r="K170" s="39" t="s">
        <v>22</v>
      </c>
      <c r="L170" s="34">
        <v>117706</v>
      </c>
      <c r="O170" s="1" t="s">
        <v>907</v>
      </c>
    </row>
    <row r="171" spans="1:15" x14ac:dyDescent="0.2">
      <c r="A171" s="46">
        <f t="shared" si="6"/>
        <v>2</v>
      </c>
      <c r="B171" s="27">
        <v>1</v>
      </c>
      <c r="C171" s="27">
        <v>1</v>
      </c>
      <c r="E171" s="2" t="s">
        <v>182</v>
      </c>
      <c r="F171" s="75" t="s">
        <v>42</v>
      </c>
      <c r="G171" s="5" t="s">
        <v>183</v>
      </c>
      <c r="H171" s="10" t="s">
        <v>184</v>
      </c>
      <c r="I171" s="89"/>
      <c r="J171" s="10"/>
      <c r="K171" s="39" t="s">
        <v>22</v>
      </c>
      <c r="L171" s="34">
        <v>126511</v>
      </c>
      <c r="O171" s="1" t="s">
        <v>907</v>
      </c>
    </row>
    <row r="172" spans="1:15" x14ac:dyDescent="0.2">
      <c r="A172" s="46">
        <f t="shared" si="6"/>
        <v>2</v>
      </c>
      <c r="B172" s="27">
        <v>1</v>
      </c>
      <c r="C172" s="27">
        <v>1</v>
      </c>
      <c r="E172" s="2" t="s">
        <v>185</v>
      </c>
      <c r="F172" s="75" t="s">
        <v>186</v>
      </c>
      <c r="G172" s="5" t="s">
        <v>187</v>
      </c>
      <c r="H172" s="6" t="s">
        <v>188</v>
      </c>
      <c r="K172" s="39" t="s">
        <v>35</v>
      </c>
      <c r="L172" s="34" t="s">
        <v>189</v>
      </c>
      <c r="N172" s="1" t="s">
        <v>884</v>
      </c>
      <c r="O172" s="1" t="s">
        <v>907</v>
      </c>
    </row>
    <row r="173" spans="1:15" x14ac:dyDescent="0.2">
      <c r="A173" s="46">
        <f t="shared" si="6"/>
        <v>2</v>
      </c>
      <c r="B173" s="27">
        <v>1</v>
      </c>
      <c r="C173" s="27">
        <v>1</v>
      </c>
      <c r="E173" s="2" t="s">
        <v>185</v>
      </c>
      <c r="F173" s="75" t="s">
        <v>190</v>
      </c>
      <c r="G173" s="5" t="s">
        <v>191</v>
      </c>
      <c r="H173" s="6" t="s">
        <v>192</v>
      </c>
      <c r="K173" s="39" t="s">
        <v>22</v>
      </c>
      <c r="L173" s="34">
        <v>146509</v>
      </c>
      <c r="O173" s="1" t="s">
        <v>907</v>
      </c>
    </row>
    <row r="174" spans="1:15" x14ac:dyDescent="0.2">
      <c r="A174" s="46">
        <f t="shared" si="6"/>
        <v>1</v>
      </c>
      <c r="B174" s="27">
        <v>1</v>
      </c>
      <c r="E174" s="2" t="s">
        <v>193</v>
      </c>
      <c r="F174" s="7" t="s">
        <v>42</v>
      </c>
      <c r="G174" s="5" t="s">
        <v>194</v>
      </c>
      <c r="H174" s="6" t="s">
        <v>195</v>
      </c>
      <c r="I174" s="27" t="s">
        <v>920</v>
      </c>
      <c r="J174" s="116" t="s">
        <v>1135</v>
      </c>
      <c r="K174" s="39" t="s">
        <v>39</v>
      </c>
      <c r="L174" s="34">
        <v>560615</v>
      </c>
      <c r="O174" s="1" t="s">
        <v>907</v>
      </c>
    </row>
    <row r="175" spans="1:15" x14ac:dyDescent="0.2">
      <c r="A175" s="46">
        <f t="shared" si="6"/>
        <v>0</v>
      </c>
      <c r="D175" s="27">
        <v>1</v>
      </c>
      <c r="E175" s="2" t="s">
        <v>193</v>
      </c>
      <c r="F175" s="22" t="s">
        <v>42</v>
      </c>
      <c r="G175" s="29" t="s">
        <v>194</v>
      </c>
      <c r="H175" s="30" t="s">
        <v>196</v>
      </c>
      <c r="I175" s="84"/>
      <c r="J175" s="30"/>
      <c r="K175" s="37" t="s">
        <v>22</v>
      </c>
      <c r="L175" s="31">
        <v>145504</v>
      </c>
      <c r="O175" s="1" t="s">
        <v>907</v>
      </c>
    </row>
    <row r="176" spans="1:15" x14ac:dyDescent="0.2">
      <c r="A176" s="46">
        <f t="shared" si="6"/>
        <v>2</v>
      </c>
      <c r="B176" s="27">
        <v>1</v>
      </c>
      <c r="C176" s="27">
        <v>1</v>
      </c>
      <c r="E176" s="2" t="s">
        <v>193</v>
      </c>
      <c r="F176" s="22" t="s">
        <v>32</v>
      </c>
      <c r="G176" s="29" t="s">
        <v>1152</v>
      </c>
      <c r="H176" s="30" t="s">
        <v>196</v>
      </c>
      <c r="I176" s="84" t="s">
        <v>920</v>
      </c>
      <c r="J176" s="30" t="s">
        <v>931</v>
      </c>
      <c r="K176" s="37" t="s">
        <v>22</v>
      </c>
      <c r="L176" s="31">
        <v>145513</v>
      </c>
      <c r="O176" s="1" t="s">
        <v>907</v>
      </c>
    </row>
    <row r="177" spans="1:15" x14ac:dyDescent="0.2">
      <c r="A177" s="46">
        <f t="shared" si="6"/>
        <v>1</v>
      </c>
      <c r="B177" s="27">
        <v>1</v>
      </c>
      <c r="E177" s="2" t="s">
        <v>193</v>
      </c>
      <c r="F177" s="22" t="s">
        <v>33</v>
      </c>
      <c r="G177" s="29" t="s">
        <v>194</v>
      </c>
      <c r="H177" s="30" t="s">
        <v>196</v>
      </c>
      <c r="I177" s="84"/>
      <c r="J177" s="30"/>
      <c r="K177" s="37" t="s">
        <v>22</v>
      </c>
      <c r="L177" s="31">
        <v>145504</v>
      </c>
      <c r="O177" s="1" t="s">
        <v>907</v>
      </c>
    </row>
    <row r="178" spans="1:15" x14ac:dyDescent="0.2">
      <c r="A178" s="46">
        <f t="shared" si="6"/>
        <v>3</v>
      </c>
      <c r="B178" s="27">
        <v>1</v>
      </c>
      <c r="C178" s="27">
        <v>2</v>
      </c>
      <c r="E178" s="2" t="s">
        <v>197</v>
      </c>
      <c r="F178" s="75" t="s">
        <v>24</v>
      </c>
      <c r="K178" s="39" t="s">
        <v>20</v>
      </c>
      <c r="O178" s="1" t="s">
        <v>907</v>
      </c>
    </row>
    <row r="179" spans="1:15" x14ac:dyDescent="0.2">
      <c r="A179" s="46">
        <f t="shared" si="6"/>
        <v>2</v>
      </c>
      <c r="B179" s="27">
        <v>1</v>
      </c>
      <c r="C179" s="27">
        <v>1</v>
      </c>
      <c r="E179" s="2" t="s">
        <v>197</v>
      </c>
      <c r="F179" s="75" t="s">
        <v>26</v>
      </c>
      <c r="K179" s="39" t="s">
        <v>17</v>
      </c>
      <c r="O179" s="1" t="s">
        <v>907</v>
      </c>
    </row>
    <row r="180" spans="1:15" x14ac:dyDescent="0.2">
      <c r="A180" s="46">
        <f t="shared" si="6"/>
        <v>2</v>
      </c>
      <c r="B180" s="27">
        <v>1</v>
      </c>
      <c r="C180" s="27">
        <v>1</v>
      </c>
      <c r="E180" s="2" t="s">
        <v>197</v>
      </c>
      <c r="F180" s="75" t="s">
        <v>113</v>
      </c>
      <c r="K180" s="39" t="s">
        <v>17</v>
      </c>
      <c r="O180" s="1" t="s">
        <v>907</v>
      </c>
    </row>
    <row r="181" spans="1:15" x14ac:dyDescent="0.2">
      <c r="A181" s="46">
        <f t="shared" si="6"/>
        <v>1</v>
      </c>
      <c r="B181" s="27">
        <v>1</v>
      </c>
      <c r="E181" s="2" t="s">
        <v>197</v>
      </c>
      <c r="F181" s="75" t="s">
        <v>113</v>
      </c>
      <c r="H181" s="6" t="s">
        <v>198</v>
      </c>
      <c r="K181" s="39" t="s">
        <v>22</v>
      </c>
      <c r="L181" s="34">
        <v>115528</v>
      </c>
      <c r="O181" s="1" t="s">
        <v>907</v>
      </c>
    </row>
    <row r="182" spans="1:15" x14ac:dyDescent="0.2">
      <c r="A182" s="46">
        <f t="shared" ref="A182:A213" si="7">B182+C182</f>
        <v>1</v>
      </c>
      <c r="B182" s="27">
        <v>1</v>
      </c>
      <c r="E182" s="2" t="s">
        <v>197</v>
      </c>
      <c r="F182" s="75" t="s">
        <v>42</v>
      </c>
      <c r="K182" s="39" t="s">
        <v>17</v>
      </c>
      <c r="O182" s="1" t="s">
        <v>907</v>
      </c>
    </row>
    <row r="183" spans="1:15" x14ac:dyDescent="0.2">
      <c r="A183" s="46">
        <f t="shared" si="7"/>
        <v>1</v>
      </c>
      <c r="B183" s="27">
        <v>1</v>
      </c>
      <c r="E183" s="2" t="s">
        <v>197</v>
      </c>
      <c r="F183" s="75" t="s">
        <v>42</v>
      </c>
      <c r="H183" s="6" t="s">
        <v>198</v>
      </c>
      <c r="K183" s="39" t="s">
        <v>22</v>
      </c>
      <c r="L183" s="34">
        <v>115512</v>
      </c>
      <c r="O183" s="1" t="s">
        <v>907</v>
      </c>
    </row>
    <row r="184" spans="1:15" x14ac:dyDescent="0.2">
      <c r="A184" s="46">
        <f t="shared" si="7"/>
        <v>1</v>
      </c>
      <c r="B184" s="27">
        <v>1</v>
      </c>
      <c r="E184" s="2" t="s">
        <v>197</v>
      </c>
      <c r="F184" s="75" t="s">
        <v>111</v>
      </c>
      <c r="H184" s="6" t="s">
        <v>198</v>
      </c>
      <c r="K184" s="39" t="s">
        <v>22</v>
      </c>
      <c r="L184" s="34">
        <v>115530</v>
      </c>
      <c r="N184" s="1" t="s">
        <v>1234</v>
      </c>
      <c r="O184" s="1" t="s">
        <v>907</v>
      </c>
    </row>
    <row r="185" spans="1:15" x14ac:dyDescent="0.2">
      <c r="A185" s="46">
        <f t="shared" si="7"/>
        <v>1</v>
      </c>
      <c r="B185" s="27">
        <v>1</v>
      </c>
      <c r="E185" s="2" t="s">
        <v>197</v>
      </c>
      <c r="F185" s="75" t="s">
        <v>111</v>
      </c>
      <c r="K185" s="39" t="s">
        <v>31</v>
      </c>
      <c r="L185" s="34">
        <v>557655</v>
      </c>
      <c r="O185" s="1" t="s">
        <v>907</v>
      </c>
    </row>
    <row r="186" spans="1:15" x14ac:dyDescent="0.2">
      <c r="A186" s="46">
        <f t="shared" si="7"/>
        <v>1</v>
      </c>
      <c r="B186" s="27">
        <v>1</v>
      </c>
      <c r="E186" s="2" t="s">
        <v>197</v>
      </c>
      <c r="F186" s="75" t="s">
        <v>111</v>
      </c>
      <c r="H186" s="6" t="s">
        <v>198</v>
      </c>
      <c r="K186" s="39" t="s">
        <v>22</v>
      </c>
      <c r="L186" s="34">
        <v>115530</v>
      </c>
      <c r="N186" s="1" t="s">
        <v>1234</v>
      </c>
      <c r="O186" s="1" t="s">
        <v>907</v>
      </c>
    </row>
    <row r="187" spans="1:15" x14ac:dyDescent="0.2">
      <c r="A187" s="46">
        <f t="shared" si="7"/>
        <v>2</v>
      </c>
      <c r="B187" s="27">
        <v>2</v>
      </c>
      <c r="C187" s="27">
        <v>0</v>
      </c>
      <c r="E187" s="2" t="s">
        <v>197</v>
      </c>
      <c r="F187" s="75" t="s">
        <v>27</v>
      </c>
      <c r="K187" s="39" t="s">
        <v>17</v>
      </c>
      <c r="N187" s="119"/>
      <c r="O187" s="1" t="s">
        <v>907</v>
      </c>
    </row>
    <row r="188" spans="1:15" x14ac:dyDescent="0.2">
      <c r="A188" s="46">
        <f t="shared" si="7"/>
        <v>3</v>
      </c>
      <c r="B188" s="27">
        <v>1</v>
      </c>
      <c r="C188" s="27">
        <v>2</v>
      </c>
      <c r="E188" s="2" t="s">
        <v>197</v>
      </c>
      <c r="F188" s="75" t="s">
        <v>27</v>
      </c>
      <c r="H188" s="6" t="s">
        <v>198</v>
      </c>
      <c r="K188" s="39" t="s">
        <v>22</v>
      </c>
      <c r="L188" s="34">
        <v>115504</v>
      </c>
      <c r="N188" s="1" t="s">
        <v>885</v>
      </c>
      <c r="O188" s="1" t="s">
        <v>907</v>
      </c>
    </row>
    <row r="189" spans="1:15" x14ac:dyDescent="0.2">
      <c r="A189" s="46">
        <f t="shared" si="7"/>
        <v>2</v>
      </c>
      <c r="B189" s="27">
        <v>1</v>
      </c>
      <c r="C189" s="27">
        <v>1</v>
      </c>
      <c r="E189" s="2" t="s">
        <v>197</v>
      </c>
      <c r="F189" s="75" t="s">
        <v>107</v>
      </c>
      <c r="H189" s="6" t="s">
        <v>201</v>
      </c>
      <c r="K189" s="39" t="s">
        <v>39</v>
      </c>
      <c r="L189" s="34">
        <v>563557</v>
      </c>
      <c r="O189" s="1" t="s">
        <v>907</v>
      </c>
    </row>
    <row r="190" spans="1:15" x14ac:dyDescent="0.2">
      <c r="A190" s="46">
        <f t="shared" si="7"/>
        <v>4</v>
      </c>
      <c r="B190" s="27">
        <v>1</v>
      </c>
      <c r="C190" s="27">
        <v>3</v>
      </c>
      <c r="E190" s="2" t="s">
        <v>197</v>
      </c>
      <c r="F190" s="75" t="s">
        <v>876</v>
      </c>
      <c r="H190" s="6" t="s">
        <v>201</v>
      </c>
      <c r="I190" s="27" t="s">
        <v>920</v>
      </c>
      <c r="J190" s="6" t="s">
        <v>963</v>
      </c>
      <c r="K190" s="39" t="s">
        <v>203</v>
      </c>
      <c r="L190" s="34" t="s">
        <v>1189</v>
      </c>
      <c r="M190" t="s">
        <v>1169</v>
      </c>
      <c r="O190" s="1" t="s">
        <v>907</v>
      </c>
    </row>
    <row r="191" spans="1:15" x14ac:dyDescent="0.2">
      <c r="A191" s="46">
        <f t="shared" si="7"/>
        <v>1</v>
      </c>
      <c r="B191" s="27">
        <v>1</v>
      </c>
      <c r="E191" s="2" t="s">
        <v>197</v>
      </c>
      <c r="F191" s="75" t="s">
        <v>116</v>
      </c>
      <c r="H191" s="6" t="s">
        <v>198</v>
      </c>
      <c r="K191" s="39" t="s">
        <v>22</v>
      </c>
      <c r="L191" s="34">
        <v>115546</v>
      </c>
      <c r="O191" s="1" t="s">
        <v>907</v>
      </c>
    </row>
    <row r="192" spans="1:15" x14ac:dyDescent="0.2">
      <c r="A192" s="46">
        <f t="shared" si="7"/>
        <v>1</v>
      </c>
      <c r="B192" s="27">
        <v>1</v>
      </c>
      <c r="E192" s="2" t="s">
        <v>197</v>
      </c>
      <c r="F192" s="75" t="s">
        <v>32</v>
      </c>
      <c r="H192" s="6" t="s">
        <v>198</v>
      </c>
      <c r="K192" s="39" t="s">
        <v>22</v>
      </c>
      <c r="L192" s="34">
        <v>115540</v>
      </c>
      <c r="O192" s="1" t="s">
        <v>907</v>
      </c>
    </row>
    <row r="193" spans="1:15" x14ac:dyDescent="0.2">
      <c r="A193" s="46">
        <f t="shared" si="7"/>
        <v>1</v>
      </c>
      <c r="B193" s="27">
        <v>1</v>
      </c>
      <c r="E193" s="2" t="s">
        <v>197</v>
      </c>
      <c r="F193" s="75" t="s">
        <v>110</v>
      </c>
      <c r="H193" s="6" t="s">
        <v>198</v>
      </c>
      <c r="K193" s="39" t="s">
        <v>22</v>
      </c>
      <c r="L193" s="34">
        <v>115555</v>
      </c>
      <c r="O193" s="1" t="s">
        <v>907</v>
      </c>
    </row>
    <row r="194" spans="1:15" x14ac:dyDescent="0.2">
      <c r="A194" s="46">
        <f t="shared" si="7"/>
        <v>3</v>
      </c>
      <c r="B194" s="27">
        <v>1</v>
      </c>
      <c r="C194" s="27">
        <v>2</v>
      </c>
      <c r="E194" s="2" t="s">
        <v>197</v>
      </c>
      <c r="F194" s="75" t="s">
        <v>115</v>
      </c>
      <c r="H194" s="10" t="s">
        <v>199</v>
      </c>
      <c r="I194" s="89"/>
      <c r="J194" s="10"/>
      <c r="K194" s="39" t="s">
        <v>22</v>
      </c>
      <c r="L194" s="34">
        <v>115543</v>
      </c>
      <c r="N194" s="1" t="s">
        <v>885</v>
      </c>
      <c r="O194" s="1" t="s">
        <v>907</v>
      </c>
    </row>
    <row r="195" spans="1:15" x14ac:dyDescent="0.2">
      <c r="A195" s="46">
        <f t="shared" si="7"/>
        <v>0</v>
      </c>
      <c r="E195" s="2" t="s">
        <v>197</v>
      </c>
      <c r="F195" s="75" t="s">
        <v>115</v>
      </c>
      <c r="K195" s="39" t="s">
        <v>17</v>
      </c>
      <c r="O195" s="1" t="s">
        <v>907</v>
      </c>
    </row>
    <row r="196" spans="1:15" x14ac:dyDescent="0.2">
      <c r="A196" s="46">
        <f t="shared" si="7"/>
        <v>2</v>
      </c>
      <c r="B196" s="27">
        <v>1</v>
      </c>
      <c r="C196" s="27">
        <v>1</v>
      </c>
      <c r="E196" s="2" t="s">
        <v>197</v>
      </c>
      <c r="F196" s="75" t="s">
        <v>115</v>
      </c>
      <c r="H196" s="10" t="s">
        <v>201</v>
      </c>
      <c r="I196" s="89"/>
      <c r="J196" s="10"/>
      <c r="K196" s="39" t="s">
        <v>203</v>
      </c>
      <c r="L196" s="34">
        <v>563333</v>
      </c>
      <c r="O196" s="1" t="s">
        <v>907</v>
      </c>
    </row>
    <row r="197" spans="1:15" x14ac:dyDescent="0.2">
      <c r="A197" s="46">
        <f t="shared" si="7"/>
        <v>1</v>
      </c>
      <c r="B197" s="27">
        <v>1</v>
      </c>
      <c r="E197" s="2" t="s">
        <v>197</v>
      </c>
      <c r="F197" s="75" t="s">
        <v>30</v>
      </c>
      <c r="H197" s="6" t="s">
        <v>198</v>
      </c>
      <c r="K197" s="39" t="s">
        <v>22</v>
      </c>
      <c r="L197" s="34">
        <v>115506</v>
      </c>
      <c r="O197" s="1" t="s">
        <v>907</v>
      </c>
    </row>
    <row r="198" spans="1:15" x14ac:dyDescent="0.2">
      <c r="A198" s="46">
        <f t="shared" si="7"/>
        <v>1</v>
      </c>
      <c r="B198" s="27">
        <v>1</v>
      </c>
      <c r="E198" s="2" t="s">
        <v>197</v>
      </c>
      <c r="F198" s="75" t="s">
        <v>51</v>
      </c>
      <c r="H198" s="10" t="s">
        <v>198</v>
      </c>
      <c r="I198" s="89"/>
      <c r="J198" s="10"/>
      <c r="K198" s="39" t="s">
        <v>22</v>
      </c>
      <c r="L198" s="34">
        <v>115523</v>
      </c>
      <c r="N198" s="1" t="s">
        <v>891</v>
      </c>
      <c r="O198" s="1" t="s">
        <v>907</v>
      </c>
    </row>
    <row r="199" spans="1:15" x14ac:dyDescent="0.2">
      <c r="A199" s="46">
        <f t="shared" si="7"/>
        <v>2</v>
      </c>
      <c r="B199" s="27">
        <v>1</v>
      </c>
      <c r="C199" s="27">
        <v>1</v>
      </c>
      <c r="E199" s="2" t="s">
        <v>197</v>
      </c>
      <c r="F199" s="75" t="s">
        <v>96</v>
      </c>
      <c r="K199" s="39" t="s">
        <v>17</v>
      </c>
      <c r="O199" s="1" t="s">
        <v>907</v>
      </c>
    </row>
    <row r="200" spans="1:15" x14ac:dyDescent="0.2">
      <c r="A200" s="46">
        <f t="shared" si="7"/>
        <v>1</v>
      </c>
      <c r="B200" s="27">
        <v>1</v>
      </c>
      <c r="E200" s="2" t="s">
        <v>197</v>
      </c>
      <c r="F200" s="75" t="s">
        <v>96</v>
      </c>
      <c r="K200" s="39" t="s">
        <v>20</v>
      </c>
      <c r="O200" s="1" t="s">
        <v>907</v>
      </c>
    </row>
    <row r="201" spans="1:15" x14ac:dyDescent="0.2">
      <c r="A201" s="46">
        <f t="shared" si="7"/>
        <v>5</v>
      </c>
      <c r="B201" s="27">
        <v>1</v>
      </c>
      <c r="C201" s="27">
        <v>4</v>
      </c>
      <c r="E201" s="2" t="s">
        <v>197</v>
      </c>
      <c r="F201" s="75" t="s">
        <v>33</v>
      </c>
      <c r="H201" s="10" t="s">
        <v>198</v>
      </c>
      <c r="I201" s="89"/>
      <c r="J201" s="10"/>
      <c r="K201" s="39" t="s">
        <v>22</v>
      </c>
      <c r="L201" s="34">
        <v>115507</v>
      </c>
      <c r="N201" s="1" t="s">
        <v>891</v>
      </c>
      <c r="O201" s="1" t="s">
        <v>907</v>
      </c>
    </row>
    <row r="202" spans="1:15" x14ac:dyDescent="0.2">
      <c r="A202" s="46">
        <f t="shared" si="7"/>
        <v>0</v>
      </c>
      <c r="E202" s="2" t="s">
        <v>197</v>
      </c>
      <c r="F202" s="75" t="s">
        <v>33</v>
      </c>
      <c r="K202" s="39" t="s">
        <v>17</v>
      </c>
      <c r="O202" s="1" t="s">
        <v>907</v>
      </c>
    </row>
    <row r="203" spans="1:15" x14ac:dyDescent="0.2">
      <c r="A203" s="46">
        <f t="shared" si="7"/>
        <v>0</v>
      </c>
      <c r="D203" s="27">
        <v>1</v>
      </c>
      <c r="E203" s="2" t="s">
        <v>197</v>
      </c>
      <c r="F203" s="75" t="s">
        <v>33</v>
      </c>
      <c r="H203" s="6" t="s">
        <v>201</v>
      </c>
      <c r="K203" s="39" t="s">
        <v>39</v>
      </c>
      <c r="L203" s="34">
        <v>553786</v>
      </c>
      <c r="O203" s="1" t="s">
        <v>907</v>
      </c>
    </row>
    <row r="204" spans="1:15" x14ac:dyDescent="0.2">
      <c r="A204" s="46">
        <f t="shared" si="7"/>
        <v>0</v>
      </c>
      <c r="E204" s="2" t="s">
        <v>197</v>
      </c>
      <c r="F204" s="75" t="s">
        <v>124</v>
      </c>
      <c r="K204" s="39" t="s">
        <v>17</v>
      </c>
      <c r="O204" s="1" t="s">
        <v>907</v>
      </c>
    </row>
    <row r="205" spans="1:15" x14ac:dyDescent="0.2">
      <c r="A205" s="46">
        <f t="shared" si="7"/>
        <v>4</v>
      </c>
      <c r="B205" s="27">
        <v>1</v>
      </c>
      <c r="C205" s="27">
        <v>3</v>
      </c>
      <c r="E205" s="2" t="s">
        <v>197</v>
      </c>
      <c r="F205" s="75" t="s">
        <v>124</v>
      </c>
      <c r="H205" s="10" t="s">
        <v>199</v>
      </c>
      <c r="I205" s="89"/>
      <c r="J205" s="10"/>
      <c r="K205" s="39" t="s">
        <v>22</v>
      </c>
      <c r="L205" s="34">
        <v>115520</v>
      </c>
      <c r="N205" s="1" t="s">
        <v>886</v>
      </c>
      <c r="O205" s="1" t="s">
        <v>907</v>
      </c>
    </row>
    <row r="206" spans="1:15" x14ac:dyDescent="0.2">
      <c r="A206" s="46">
        <f t="shared" si="7"/>
        <v>1</v>
      </c>
      <c r="B206" s="27">
        <v>1</v>
      </c>
      <c r="E206" s="2" t="s">
        <v>197</v>
      </c>
      <c r="F206" s="75" t="s">
        <v>70</v>
      </c>
      <c r="H206" s="6" t="s">
        <v>198</v>
      </c>
      <c r="K206" s="39" t="s">
        <v>22</v>
      </c>
      <c r="L206" s="34">
        <v>115510</v>
      </c>
      <c r="O206" s="1" t="s">
        <v>907</v>
      </c>
    </row>
    <row r="207" spans="1:15" x14ac:dyDescent="0.2">
      <c r="A207" s="46">
        <f t="shared" si="7"/>
        <v>1</v>
      </c>
      <c r="B207" s="27">
        <v>1</v>
      </c>
      <c r="E207" s="2" t="s">
        <v>197</v>
      </c>
      <c r="F207" s="75" t="s">
        <v>190</v>
      </c>
      <c r="H207" s="6" t="s">
        <v>198</v>
      </c>
      <c r="K207" s="39" t="s">
        <v>22</v>
      </c>
      <c r="L207" s="34">
        <v>115534</v>
      </c>
      <c r="O207" s="1" t="s">
        <v>907</v>
      </c>
    </row>
    <row r="208" spans="1:15" x14ac:dyDescent="0.2">
      <c r="A208" s="46">
        <f t="shared" si="7"/>
        <v>0</v>
      </c>
      <c r="E208" s="2" t="s">
        <v>197</v>
      </c>
      <c r="F208" s="75" t="s">
        <v>200</v>
      </c>
      <c r="K208" s="39" t="s">
        <v>17</v>
      </c>
      <c r="O208" s="1" t="s">
        <v>907</v>
      </c>
    </row>
    <row r="209" spans="1:15" x14ac:dyDescent="0.2">
      <c r="A209" s="46">
        <f t="shared" si="7"/>
        <v>1</v>
      </c>
      <c r="B209" s="27">
        <v>1</v>
      </c>
      <c r="E209" s="2" t="s">
        <v>197</v>
      </c>
      <c r="F209" s="75" t="s">
        <v>202</v>
      </c>
      <c r="K209" s="39" t="s">
        <v>25</v>
      </c>
      <c r="O209" s="1" t="s">
        <v>907</v>
      </c>
    </row>
    <row r="210" spans="1:15" x14ac:dyDescent="0.2">
      <c r="A210" s="46">
        <f t="shared" si="7"/>
        <v>1</v>
      </c>
      <c r="B210" s="27">
        <v>1</v>
      </c>
      <c r="E210" s="25" t="s">
        <v>197</v>
      </c>
      <c r="F210" s="81" t="s">
        <v>912</v>
      </c>
      <c r="G210" s="29"/>
      <c r="H210" s="30" t="s">
        <v>198</v>
      </c>
      <c r="I210" s="27" t="s">
        <v>920</v>
      </c>
      <c r="J210" s="20" t="s">
        <v>923</v>
      </c>
      <c r="K210" s="43" t="s">
        <v>22</v>
      </c>
      <c r="L210" s="31">
        <v>115580</v>
      </c>
      <c r="N210" s="1" t="s">
        <v>1230</v>
      </c>
      <c r="O210" s="1" t="s">
        <v>913</v>
      </c>
    </row>
    <row r="211" spans="1:15" x14ac:dyDescent="0.2">
      <c r="A211" s="46">
        <f t="shared" si="7"/>
        <v>2</v>
      </c>
      <c r="B211" s="27">
        <v>1</v>
      </c>
      <c r="C211" s="27">
        <v>1</v>
      </c>
      <c r="E211" s="2" t="s">
        <v>204</v>
      </c>
      <c r="F211" s="78" t="s">
        <v>85</v>
      </c>
      <c r="G211" s="8" t="s">
        <v>205</v>
      </c>
      <c r="H211" s="52" t="s">
        <v>206</v>
      </c>
      <c r="I211" s="92"/>
      <c r="J211" s="52"/>
      <c r="K211" s="54" t="s">
        <v>22</v>
      </c>
      <c r="L211" s="53">
        <v>150605</v>
      </c>
      <c r="M211" t="s">
        <v>1156</v>
      </c>
      <c r="N211" s="1" t="s">
        <v>891</v>
      </c>
      <c r="O211" s="1" t="s">
        <v>907</v>
      </c>
    </row>
    <row r="212" spans="1:15" x14ac:dyDescent="0.2">
      <c r="A212" s="46">
        <f t="shared" si="7"/>
        <v>1</v>
      </c>
      <c r="B212" s="27">
        <v>1</v>
      </c>
      <c r="E212" s="2" t="s">
        <v>207</v>
      </c>
      <c r="F212" s="7" t="s">
        <v>42</v>
      </c>
      <c r="G212" s="5" t="s">
        <v>209</v>
      </c>
      <c r="H212" s="6" t="s">
        <v>210</v>
      </c>
      <c r="K212" s="39" t="s">
        <v>22</v>
      </c>
      <c r="L212" s="34">
        <v>129814</v>
      </c>
      <c r="O212" s="1" t="s">
        <v>907</v>
      </c>
    </row>
    <row r="213" spans="1:15" x14ac:dyDescent="0.2">
      <c r="A213" s="46">
        <f t="shared" si="7"/>
        <v>1</v>
      </c>
      <c r="B213" s="27">
        <v>1</v>
      </c>
      <c r="E213" s="2" t="s">
        <v>207</v>
      </c>
      <c r="F213" s="7" t="s">
        <v>115</v>
      </c>
      <c r="G213" s="5" t="s">
        <v>209</v>
      </c>
      <c r="H213" s="6" t="s">
        <v>210</v>
      </c>
      <c r="K213" s="39" t="s">
        <v>22</v>
      </c>
      <c r="L213" s="34">
        <v>129823</v>
      </c>
      <c r="O213" s="1" t="s">
        <v>907</v>
      </c>
    </row>
    <row r="214" spans="1:15" x14ac:dyDescent="0.2">
      <c r="A214" s="46">
        <f t="shared" ref="A214:A245" si="8">B214+C214</f>
        <v>1</v>
      </c>
      <c r="B214" s="27">
        <v>1</v>
      </c>
      <c r="E214" s="2" t="s">
        <v>207</v>
      </c>
      <c r="F214" s="7" t="s">
        <v>208</v>
      </c>
      <c r="G214" s="5" t="s">
        <v>209</v>
      </c>
      <c r="H214" s="6" t="s">
        <v>210</v>
      </c>
      <c r="K214" s="39" t="s">
        <v>22</v>
      </c>
      <c r="L214" s="34">
        <v>129822</v>
      </c>
      <c r="O214" s="1" t="s">
        <v>907</v>
      </c>
    </row>
    <row r="215" spans="1:15" x14ac:dyDescent="0.2">
      <c r="A215" s="46">
        <f t="shared" si="8"/>
        <v>3</v>
      </c>
      <c r="B215" s="27">
        <v>1</v>
      </c>
      <c r="C215" s="27">
        <v>2</v>
      </c>
      <c r="E215" s="13" t="s">
        <v>211</v>
      </c>
      <c r="F215" s="77" t="s">
        <v>27</v>
      </c>
      <c r="G215" s="49" t="s">
        <v>212</v>
      </c>
      <c r="H215" s="50" t="s">
        <v>213</v>
      </c>
      <c r="I215" s="90"/>
      <c r="J215" s="50"/>
      <c r="K215" s="40" t="s">
        <v>22</v>
      </c>
      <c r="L215" s="51">
        <v>120103</v>
      </c>
      <c r="N215" s="1" t="s">
        <v>889</v>
      </c>
      <c r="O215" s="1" t="s">
        <v>907</v>
      </c>
    </row>
    <row r="216" spans="1:15" x14ac:dyDescent="0.2">
      <c r="A216" s="46">
        <f t="shared" si="8"/>
        <v>3</v>
      </c>
      <c r="B216" s="27">
        <v>1</v>
      </c>
      <c r="C216" s="27">
        <v>2</v>
      </c>
      <c r="E216" s="2" t="s">
        <v>214</v>
      </c>
      <c r="F216" s="75" t="s">
        <v>57</v>
      </c>
      <c r="G216" s="5" t="s">
        <v>215</v>
      </c>
      <c r="H216" s="10" t="s">
        <v>216</v>
      </c>
      <c r="I216" s="89"/>
      <c r="J216" s="10"/>
      <c r="K216" s="39" t="s">
        <v>22</v>
      </c>
      <c r="L216" s="34">
        <v>129710</v>
      </c>
      <c r="N216" s="1" t="s">
        <v>886</v>
      </c>
      <c r="O216" s="1" t="s">
        <v>907</v>
      </c>
    </row>
    <row r="217" spans="1:15" x14ac:dyDescent="0.2">
      <c r="A217" s="46">
        <f t="shared" si="8"/>
        <v>2</v>
      </c>
      <c r="B217" s="27">
        <v>1</v>
      </c>
      <c r="C217" s="27">
        <v>1</v>
      </c>
      <c r="E217" s="2" t="s">
        <v>214</v>
      </c>
      <c r="F217" s="76" t="s">
        <v>33</v>
      </c>
      <c r="G217" s="5" t="s">
        <v>215</v>
      </c>
      <c r="H217" s="10" t="s">
        <v>217</v>
      </c>
      <c r="I217" s="89"/>
      <c r="J217" s="10"/>
      <c r="K217" s="48" t="s">
        <v>22</v>
      </c>
      <c r="L217" s="55" t="s">
        <v>218</v>
      </c>
      <c r="N217" s="1" t="s">
        <v>81</v>
      </c>
      <c r="O217" s="1" t="s">
        <v>907</v>
      </c>
    </row>
    <row r="218" spans="1:15" x14ac:dyDescent="0.2">
      <c r="A218" s="46">
        <f t="shared" si="8"/>
        <v>2</v>
      </c>
      <c r="B218" s="27">
        <v>1</v>
      </c>
      <c r="C218" s="27">
        <v>1</v>
      </c>
      <c r="E218" s="2" t="s">
        <v>214</v>
      </c>
      <c r="F218" s="76" t="s">
        <v>124</v>
      </c>
      <c r="G218" s="5" t="s">
        <v>215</v>
      </c>
      <c r="H218" s="10" t="s">
        <v>217</v>
      </c>
      <c r="I218" s="89"/>
      <c r="J218" s="10"/>
      <c r="K218" s="48" t="s">
        <v>22</v>
      </c>
      <c r="L218" s="55" t="s">
        <v>219</v>
      </c>
      <c r="O218" s="1" t="s">
        <v>907</v>
      </c>
    </row>
    <row r="219" spans="1:15" x14ac:dyDescent="0.2">
      <c r="A219" s="46">
        <f t="shared" si="8"/>
        <v>1</v>
      </c>
      <c r="B219" s="27">
        <v>1</v>
      </c>
      <c r="E219" s="2" t="s">
        <v>220</v>
      </c>
      <c r="F219" s="75" t="s">
        <v>16</v>
      </c>
      <c r="K219" s="39" t="s">
        <v>203</v>
      </c>
      <c r="L219" s="34">
        <v>553844</v>
      </c>
      <c r="O219" s="1" t="s">
        <v>907</v>
      </c>
    </row>
    <row r="220" spans="1:15" x14ac:dyDescent="0.2">
      <c r="A220" s="46">
        <f t="shared" si="8"/>
        <v>1</v>
      </c>
      <c r="B220" s="27">
        <v>1</v>
      </c>
      <c r="E220" s="2" t="s">
        <v>220</v>
      </c>
      <c r="F220" s="75" t="s">
        <v>30</v>
      </c>
      <c r="H220" s="6" t="s">
        <v>221</v>
      </c>
      <c r="K220" s="39" t="s">
        <v>31</v>
      </c>
      <c r="L220" s="34">
        <v>553845</v>
      </c>
      <c r="O220" s="1" t="s">
        <v>907</v>
      </c>
    </row>
    <row r="221" spans="1:15" x14ac:dyDescent="0.2">
      <c r="A221" s="46">
        <f t="shared" si="8"/>
        <v>1</v>
      </c>
      <c r="B221" s="27">
        <v>1</v>
      </c>
      <c r="E221" s="2" t="s">
        <v>969</v>
      </c>
      <c r="F221" s="75" t="s">
        <v>108</v>
      </c>
      <c r="G221" s="5" t="s">
        <v>971</v>
      </c>
      <c r="H221" s="6" t="s">
        <v>970</v>
      </c>
      <c r="I221" s="27" t="s">
        <v>920</v>
      </c>
      <c r="J221" s="6" t="s">
        <v>972</v>
      </c>
      <c r="K221" s="39" t="s">
        <v>203</v>
      </c>
      <c r="L221" s="34">
        <v>741054</v>
      </c>
      <c r="M221" t="s">
        <v>973</v>
      </c>
      <c r="O221" s="1" t="s">
        <v>907</v>
      </c>
    </row>
    <row r="222" spans="1:15" x14ac:dyDescent="0.2">
      <c r="A222" s="46">
        <f t="shared" si="8"/>
        <v>1</v>
      </c>
      <c r="B222" s="27">
        <v>1</v>
      </c>
      <c r="E222" s="2" t="s">
        <v>222</v>
      </c>
      <c r="F222" s="75" t="s">
        <v>30</v>
      </c>
      <c r="H222" s="6" t="s">
        <v>223</v>
      </c>
      <c r="K222" s="39" t="s">
        <v>54</v>
      </c>
      <c r="L222" s="34">
        <v>150407</v>
      </c>
      <c r="O222" s="1" t="s">
        <v>907</v>
      </c>
    </row>
    <row r="223" spans="1:15" x14ac:dyDescent="0.2">
      <c r="A223" s="46">
        <f t="shared" si="8"/>
        <v>2</v>
      </c>
      <c r="B223" s="27">
        <v>1</v>
      </c>
      <c r="C223" s="27">
        <v>1</v>
      </c>
      <c r="E223" s="3" t="s">
        <v>224</v>
      </c>
      <c r="F223" s="75" t="s">
        <v>33</v>
      </c>
      <c r="G223" s="5" t="s">
        <v>225</v>
      </c>
      <c r="H223" s="6" t="s">
        <v>226</v>
      </c>
      <c r="K223" s="39" t="s">
        <v>22</v>
      </c>
      <c r="L223" s="34">
        <v>123807</v>
      </c>
      <c r="O223" s="1" t="s">
        <v>907</v>
      </c>
    </row>
    <row r="224" spans="1:15" x14ac:dyDescent="0.2">
      <c r="A224" s="46">
        <f t="shared" si="8"/>
        <v>1</v>
      </c>
      <c r="B224" s="27">
        <v>1</v>
      </c>
      <c r="E224" s="2" t="s">
        <v>227</v>
      </c>
      <c r="F224" s="75" t="s">
        <v>33</v>
      </c>
      <c r="H224" s="6" t="s">
        <v>228</v>
      </c>
      <c r="K224" s="39" t="s">
        <v>54</v>
      </c>
      <c r="L224" s="34">
        <v>144204</v>
      </c>
      <c r="O224" s="1" t="s">
        <v>907</v>
      </c>
    </row>
    <row r="225" spans="1:15" x14ac:dyDescent="0.2">
      <c r="A225" s="46">
        <f t="shared" si="8"/>
        <v>0</v>
      </c>
      <c r="E225" s="2" t="s">
        <v>229</v>
      </c>
      <c r="F225" s="75" t="s">
        <v>27</v>
      </c>
      <c r="G225" s="5" t="s">
        <v>230</v>
      </c>
      <c r="H225" s="6" t="s">
        <v>231</v>
      </c>
      <c r="K225" s="39" t="s">
        <v>48</v>
      </c>
      <c r="L225" s="34" t="s">
        <v>232</v>
      </c>
      <c r="O225" s="1" t="s">
        <v>907</v>
      </c>
    </row>
    <row r="226" spans="1:15" x14ac:dyDescent="0.2">
      <c r="A226" s="46">
        <f t="shared" si="8"/>
        <v>3</v>
      </c>
      <c r="B226" s="27">
        <v>1</v>
      </c>
      <c r="C226" s="27">
        <v>2</v>
      </c>
      <c r="E226" s="2" t="s">
        <v>233</v>
      </c>
      <c r="F226" s="76" t="s">
        <v>27</v>
      </c>
      <c r="H226" s="10" t="s">
        <v>231</v>
      </c>
      <c r="I226" s="89"/>
      <c r="J226" s="10"/>
      <c r="K226" s="48" t="s">
        <v>234</v>
      </c>
      <c r="L226" s="55" t="s">
        <v>235</v>
      </c>
      <c r="N226" s="1" t="s">
        <v>889</v>
      </c>
      <c r="O226" s="1" t="s">
        <v>907</v>
      </c>
    </row>
    <row r="227" spans="1:15" x14ac:dyDescent="0.2">
      <c r="A227" s="46">
        <f t="shared" si="8"/>
        <v>2</v>
      </c>
      <c r="B227" s="27">
        <v>1</v>
      </c>
      <c r="C227" s="27">
        <v>1</v>
      </c>
      <c r="E227" s="2" t="s">
        <v>233</v>
      </c>
      <c r="F227" s="75" t="s">
        <v>33</v>
      </c>
      <c r="H227" s="6" t="s">
        <v>231</v>
      </c>
      <c r="K227" s="39" t="s">
        <v>236</v>
      </c>
      <c r="L227" s="34" t="s">
        <v>237</v>
      </c>
      <c r="O227" s="1" t="s">
        <v>907</v>
      </c>
    </row>
    <row r="228" spans="1:15" x14ac:dyDescent="0.2">
      <c r="A228" s="46">
        <f t="shared" si="8"/>
        <v>4</v>
      </c>
      <c r="B228" s="27">
        <v>2</v>
      </c>
      <c r="C228" s="27">
        <v>2</v>
      </c>
      <c r="E228" s="2" t="s">
        <v>238</v>
      </c>
      <c r="F228" s="75" t="s">
        <v>24</v>
      </c>
      <c r="K228" s="39" t="s">
        <v>20</v>
      </c>
      <c r="O228" s="1" t="s">
        <v>907</v>
      </c>
    </row>
    <row r="229" spans="1:15" x14ac:dyDescent="0.2">
      <c r="A229" s="46">
        <f t="shared" si="8"/>
        <v>2</v>
      </c>
      <c r="B229" s="27">
        <v>1</v>
      </c>
      <c r="C229" s="27">
        <v>1</v>
      </c>
      <c r="E229" s="2" t="s">
        <v>238</v>
      </c>
      <c r="F229" s="75" t="s">
        <v>26</v>
      </c>
      <c r="K229" s="39" t="s">
        <v>17</v>
      </c>
      <c r="O229" s="1" t="s">
        <v>907</v>
      </c>
    </row>
    <row r="230" spans="1:15" x14ac:dyDescent="0.2">
      <c r="A230" s="46">
        <f t="shared" si="8"/>
        <v>1</v>
      </c>
      <c r="B230" s="27">
        <v>1</v>
      </c>
      <c r="E230" s="2" t="s">
        <v>238</v>
      </c>
      <c r="F230" s="75" t="s">
        <v>113</v>
      </c>
      <c r="K230" s="39" t="s">
        <v>17</v>
      </c>
      <c r="O230" s="1" t="s">
        <v>907</v>
      </c>
    </row>
    <row r="231" spans="1:15" x14ac:dyDescent="0.2">
      <c r="A231" s="46">
        <f t="shared" si="8"/>
        <v>1</v>
      </c>
      <c r="B231" s="27">
        <v>1</v>
      </c>
      <c r="D231" s="27">
        <v>1</v>
      </c>
      <c r="E231" s="2" t="s">
        <v>238</v>
      </c>
      <c r="F231" s="75" t="s">
        <v>27</v>
      </c>
      <c r="H231" s="6" t="s">
        <v>241</v>
      </c>
      <c r="K231" s="39" t="s">
        <v>72</v>
      </c>
      <c r="O231" s="1" t="s">
        <v>907</v>
      </c>
    </row>
    <row r="232" spans="1:15" x14ac:dyDescent="0.2">
      <c r="A232" s="46">
        <f t="shared" si="8"/>
        <v>1</v>
      </c>
      <c r="B232" s="27">
        <v>1</v>
      </c>
      <c r="E232" s="2" t="s">
        <v>238</v>
      </c>
      <c r="F232" s="75" t="s">
        <v>96</v>
      </c>
      <c r="K232" s="39" t="s">
        <v>17</v>
      </c>
      <c r="O232" s="1" t="s">
        <v>907</v>
      </c>
    </row>
    <row r="233" spans="1:15" x14ac:dyDescent="0.2">
      <c r="A233" s="46">
        <f t="shared" si="8"/>
        <v>0</v>
      </c>
      <c r="B233" s="27">
        <v>0</v>
      </c>
      <c r="C233" s="27">
        <v>0</v>
      </c>
      <c r="E233" s="2" t="s">
        <v>238</v>
      </c>
      <c r="F233" s="75" t="s">
        <v>105</v>
      </c>
      <c r="H233" s="6" t="s">
        <v>239</v>
      </c>
      <c r="K233" s="39" t="s">
        <v>48</v>
      </c>
      <c r="L233" s="34" t="s">
        <v>240</v>
      </c>
      <c r="O233" s="1" t="s">
        <v>907</v>
      </c>
    </row>
    <row r="234" spans="1:15" x14ac:dyDescent="0.2">
      <c r="A234" s="46">
        <f t="shared" si="8"/>
        <v>4</v>
      </c>
      <c r="B234" s="27">
        <v>1</v>
      </c>
      <c r="C234" s="27">
        <v>3</v>
      </c>
      <c r="E234" s="2" t="s">
        <v>238</v>
      </c>
      <c r="F234" s="75" t="s">
        <v>105</v>
      </c>
      <c r="H234" s="9" t="s">
        <v>243</v>
      </c>
      <c r="K234" s="39" t="s">
        <v>22</v>
      </c>
      <c r="L234" s="34">
        <v>123440</v>
      </c>
      <c r="O234" s="1" t="s">
        <v>907</v>
      </c>
    </row>
    <row r="235" spans="1:15" x14ac:dyDescent="0.2">
      <c r="A235" s="46">
        <f t="shared" si="8"/>
        <v>1</v>
      </c>
      <c r="B235" s="27">
        <v>1</v>
      </c>
      <c r="D235" s="27">
        <v>1</v>
      </c>
      <c r="E235" s="2" t="s">
        <v>242</v>
      </c>
      <c r="F235" s="75" t="s">
        <v>57</v>
      </c>
      <c r="H235" s="56" t="s">
        <v>243</v>
      </c>
      <c r="I235" s="93"/>
      <c r="J235" s="56"/>
      <c r="K235" s="39" t="s">
        <v>22</v>
      </c>
      <c r="L235" s="34">
        <v>123424</v>
      </c>
      <c r="O235" s="1" t="s">
        <v>907</v>
      </c>
    </row>
    <row r="236" spans="1:15" x14ac:dyDescent="0.2">
      <c r="A236" s="46">
        <f t="shared" si="8"/>
        <v>2</v>
      </c>
      <c r="B236" s="27">
        <v>1</v>
      </c>
      <c r="C236" s="27">
        <v>1</v>
      </c>
      <c r="E236" s="2" t="s">
        <v>244</v>
      </c>
      <c r="F236" s="75" t="s">
        <v>33</v>
      </c>
      <c r="G236" s="5" t="s">
        <v>245</v>
      </c>
      <c r="H236" s="6" t="s">
        <v>239</v>
      </c>
      <c r="K236" s="39" t="s">
        <v>48</v>
      </c>
      <c r="L236" s="34" t="s">
        <v>240</v>
      </c>
      <c r="O236" s="1" t="s">
        <v>907</v>
      </c>
    </row>
    <row r="237" spans="1:15" x14ac:dyDescent="0.2">
      <c r="A237" s="46">
        <f t="shared" si="8"/>
        <v>2</v>
      </c>
      <c r="B237" s="27">
        <v>1</v>
      </c>
      <c r="C237" s="27">
        <v>1</v>
      </c>
      <c r="E237" s="2" t="s">
        <v>244</v>
      </c>
      <c r="F237" s="75" t="s">
        <v>190</v>
      </c>
      <c r="G237" s="5" t="s">
        <v>245</v>
      </c>
      <c r="H237" s="9" t="s">
        <v>243</v>
      </c>
      <c r="I237" s="94"/>
      <c r="J237" s="9"/>
      <c r="K237" s="39" t="s">
        <v>22</v>
      </c>
      <c r="L237" s="34">
        <v>123416</v>
      </c>
      <c r="O237" s="1" t="s">
        <v>907</v>
      </c>
    </row>
    <row r="238" spans="1:15" x14ac:dyDescent="0.2">
      <c r="A238" s="46">
        <f t="shared" si="8"/>
        <v>1</v>
      </c>
      <c r="B238" s="27">
        <v>1</v>
      </c>
      <c r="E238" s="2" t="s">
        <v>246</v>
      </c>
      <c r="F238" s="75" t="s">
        <v>30</v>
      </c>
      <c r="K238" s="39" t="s">
        <v>247</v>
      </c>
      <c r="L238" s="34" t="s">
        <v>248</v>
      </c>
      <c r="O238" s="1" t="s">
        <v>907</v>
      </c>
    </row>
    <row r="239" spans="1:15" x14ac:dyDescent="0.2">
      <c r="A239" s="46">
        <f t="shared" si="8"/>
        <v>2</v>
      </c>
      <c r="B239" s="27">
        <v>1</v>
      </c>
      <c r="C239" s="27">
        <v>1</v>
      </c>
      <c r="E239" s="2" t="s">
        <v>249</v>
      </c>
      <c r="F239" s="75" t="s">
        <v>250</v>
      </c>
      <c r="G239" s="5" t="s">
        <v>939</v>
      </c>
      <c r="H239" s="6" t="s">
        <v>251</v>
      </c>
      <c r="I239" s="27" t="s">
        <v>920</v>
      </c>
      <c r="J239" s="6" t="s">
        <v>923</v>
      </c>
      <c r="K239" s="39" t="s">
        <v>22</v>
      </c>
      <c r="L239" s="34">
        <v>133621</v>
      </c>
      <c r="O239" s="1" t="s">
        <v>907</v>
      </c>
    </row>
    <row r="240" spans="1:15" x14ac:dyDescent="0.2">
      <c r="A240" s="46">
        <f t="shared" si="8"/>
        <v>1</v>
      </c>
      <c r="B240" s="27">
        <v>1</v>
      </c>
      <c r="E240" s="2" t="s">
        <v>249</v>
      </c>
      <c r="F240" s="75" t="s">
        <v>124</v>
      </c>
      <c r="G240" s="5" t="s">
        <v>939</v>
      </c>
      <c r="H240" s="6" t="s">
        <v>251</v>
      </c>
      <c r="I240" s="27" t="s">
        <v>920</v>
      </c>
      <c r="J240" s="6" t="s">
        <v>923</v>
      </c>
      <c r="K240" s="39" t="s">
        <v>22</v>
      </c>
      <c r="L240" s="34">
        <v>133625</v>
      </c>
      <c r="O240" s="1" t="s">
        <v>907</v>
      </c>
    </row>
    <row r="241" spans="1:15" x14ac:dyDescent="0.2">
      <c r="A241" s="46">
        <f t="shared" si="8"/>
        <v>3</v>
      </c>
      <c r="B241" s="27">
        <v>1</v>
      </c>
      <c r="C241" s="27">
        <v>2</v>
      </c>
      <c r="E241" s="2" t="s">
        <v>252</v>
      </c>
      <c r="F241" s="75" t="s">
        <v>24</v>
      </c>
      <c r="K241" s="39" t="s">
        <v>14</v>
      </c>
      <c r="O241" s="1" t="s">
        <v>907</v>
      </c>
    </row>
    <row r="242" spans="1:15" x14ac:dyDescent="0.2">
      <c r="A242" s="46">
        <f t="shared" si="8"/>
        <v>1</v>
      </c>
      <c r="B242" s="27">
        <v>1</v>
      </c>
      <c r="E242" s="2" t="s">
        <v>252</v>
      </c>
      <c r="F242" s="75" t="s">
        <v>26</v>
      </c>
      <c r="K242" s="39" t="s">
        <v>17</v>
      </c>
      <c r="O242" s="1" t="s">
        <v>907</v>
      </c>
    </row>
    <row r="243" spans="1:15" x14ac:dyDescent="0.2">
      <c r="A243" s="46">
        <f t="shared" si="8"/>
        <v>1</v>
      </c>
      <c r="B243" s="27">
        <v>1</v>
      </c>
      <c r="E243" s="2" t="s">
        <v>252</v>
      </c>
      <c r="F243" s="75" t="s">
        <v>42</v>
      </c>
      <c r="K243" s="39" t="s">
        <v>17</v>
      </c>
      <c r="O243" s="1" t="s">
        <v>907</v>
      </c>
    </row>
    <row r="244" spans="1:15" x14ac:dyDescent="0.2">
      <c r="A244" s="46">
        <f t="shared" si="8"/>
        <v>1</v>
      </c>
      <c r="B244" s="27">
        <v>1</v>
      </c>
      <c r="E244" s="2" t="s">
        <v>252</v>
      </c>
      <c r="F244" s="75" t="s">
        <v>42</v>
      </c>
      <c r="H244" s="6" t="s">
        <v>253</v>
      </c>
      <c r="I244" s="27" t="s">
        <v>920</v>
      </c>
      <c r="J244" s="6" t="s">
        <v>931</v>
      </c>
      <c r="K244" s="39" t="s">
        <v>22</v>
      </c>
      <c r="L244" s="34">
        <v>101620</v>
      </c>
      <c r="O244" s="1" t="s">
        <v>907</v>
      </c>
    </row>
    <row r="245" spans="1:15" x14ac:dyDescent="0.2">
      <c r="A245" s="46">
        <f t="shared" si="8"/>
        <v>2</v>
      </c>
      <c r="B245" s="27">
        <v>1</v>
      </c>
      <c r="C245" s="27">
        <v>1</v>
      </c>
      <c r="E245" s="2" t="s">
        <v>252</v>
      </c>
      <c r="F245" s="75" t="s">
        <v>256</v>
      </c>
      <c r="H245" s="6" t="s">
        <v>253</v>
      </c>
      <c r="K245" s="39" t="s">
        <v>22</v>
      </c>
      <c r="L245" s="34">
        <v>101630</v>
      </c>
      <c r="O245" s="1" t="s">
        <v>907</v>
      </c>
    </row>
    <row r="246" spans="1:15" x14ac:dyDescent="0.2">
      <c r="A246" s="46">
        <f t="shared" ref="A246:A262" si="9">B246+C246</f>
        <v>1</v>
      </c>
      <c r="B246" s="27">
        <v>1</v>
      </c>
      <c r="E246" s="2" t="s">
        <v>252</v>
      </c>
      <c r="F246" s="75" t="s">
        <v>12</v>
      </c>
      <c r="K246" s="39" t="s">
        <v>17</v>
      </c>
      <c r="O246" s="1" t="s">
        <v>907</v>
      </c>
    </row>
    <row r="247" spans="1:15" x14ac:dyDescent="0.2">
      <c r="A247" s="46">
        <f t="shared" si="9"/>
        <v>1</v>
      </c>
      <c r="B247" s="27">
        <v>1</v>
      </c>
      <c r="E247" s="2" t="s">
        <v>252</v>
      </c>
      <c r="F247" s="75" t="s">
        <v>12</v>
      </c>
      <c r="K247" s="39" t="s">
        <v>247</v>
      </c>
      <c r="L247" s="34" t="s">
        <v>255</v>
      </c>
      <c r="O247" s="1" t="s">
        <v>907</v>
      </c>
    </row>
    <row r="248" spans="1:15" x14ac:dyDescent="0.2">
      <c r="A248" s="46">
        <f t="shared" si="9"/>
        <v>1</v>
      </c>
      <c r="B248" s="27">
        <v>1</v>
      </c>
      <c r="E248" s="2" t="s">
        <v>252</v>
      </c>
      <c r="F248" s="75" t="s">
        <v>30</v>
      </c>
      <c r="H248" s="6" t="s">
        <v>253</v>
      </c>
      <c r="K248" s="39" t="s">
        <v>247</v>
      </c>
      <c r="L248" s="34" t="s">
        <v>254</v>
      </c>
      <c r="O248" s="1" t="s">
        <v>907</v>
      </c>
    </row>
    <row r="249" spans="1:15" x14ac:dyDescent="0.2">
      <c r="A249" s="46">
        <f t="shared" si="9"/>
        <v>1</v>
      </c>
      <c r="B249" s="27">
        <v>1</v>
      </c>
      <c r="E249" s="2" t="s">
        <v>252</v>
      </c>
      <c r="F249" s="75" t="s">
        <v>96</v>
      </c>
      <c r="K249" s="39" t="s">
        <v>17</v>
      </c>
      <c r="O249" s="1" t="s">
        <v>907</v>
      </c>
    </row>
    <row r="250" spans="1:15" x14ac:dyDescent="0.2">
      <c r="A250" s="46">
        <f t="shared" si="9"/>
        <v>2</v>
      </c>
      <c r="B250" s="27">
        <v>1</v>
      </c>
      <c r="C250" s="27">
        <v>1</v>
      </c>
      <c r="E250" s="2" t="s">
        <v>252</v>
      </c>
      <c r="F250" s="75" t="s">
        <v>33</v>
      </c>
      <c r="H250" s="6" t="s">
        <v>253</v>
      </c>
      <c r="K250" s="39" t="s">
        <v>39</v>
      </c>
      <c r="L250" s="34">
        <v>553139</v>
      </c>
      <c r="O250" s="1" t="s">
        <v>907</v>
      </c>
    </row>
    <row r="251" spans="1:15" x14ac:dyDescent="0.2">
      <c r="A251" s="46">
        <f t="shared" si="9"/>
        <v>2</v>
      </c>
      <c r="B251" s="27">
        <v>1</v>
      </c>
      <c r="C251" s="27">
        <v>1</v>
      </c>
      <c r="E251" s="2" t="s">
        <v>252</v>
      </c>
      <c r="F251" s="75" t="s">
        <v>70</v>
      </c>
      <c r="H251" s="6" t="s">
        <v>253</v>
      </c>
      <c r="K251" s="39" t="s">
        <v>22</v>
      </c>
      <c r="L251" s="34">
        <v>110614</v>
      </c>
      <c r="O251" s="1" t="s">
        <v>907</v>
      </c>
    </row>
    <row r="252" spans="1:15" x14ac:dyDescent="0.2">
      <c r="A252" s="46">
        <f t="shared" si="9"/>
        <v>1</v>
      </c>
      <c r="B252" s="27">
        <v>1</v>
      </c>
      <c r="E252" s="2" t="s">
        <v>257</v>
      </c>
      <c r="F252" s="75" t="s">
        <v>26</v>
      </c>
      <c r="K252" s="39" t="s">
        <v>17</v>
      </c>
      <c r="O252" s="1" t="s">
        <v>907</v>
      </c>
    </row>
    <row r="253" spans="1:15" x14ac:dyDescent="0.2">
      <c r="A253" s="46">
        <f t="shared" si="9"/>
        <v>1</v>
      </c>
      <c r="B253" s="27">
        <v>1</v>
      </c>
      <c r="E253" s="2" t="s">
        <v>257</v>
      </c>
      <c r="F253" s="75" t="s">
        <v>27</v>
      </c>
      <c r="K253" s="39" t="s">
        <v>247</v>
      </c>
      <c r="L253" s="34" t="s">
        <v>260</v>
      </c>
      <c r="O253" s="1" t="s">
        <v>907</v>
      </c>
    </row>
    <row r="254" spans="1:15" x14ac:dyDescent="0.2">
      <c r="A254" s="46">
        <f t="shared" si="9"/>
        <v>1</v>
      </c>
      <c r="B254" s="27">
        <v>1</v>
      </c>
      <c r="E254" s="2" t="s">
        <v>257</v>
      </c>
      <c r="F254" s="75" t="s">
        <v>32</v>
      </c>
      <c r="K254" s="39" t="s">
        <v>17</v>
      </c>
      <c r="O254" s="1" t="s">
        <v>907</v>
      </c>
    </row>
    <row r="255" spans="1:15" x14ac:dyDescent="0.2">
      <c r="A255" s="46">
        <f t="shared" si="9"/>
        <v>4</v>
      </c>
      <c r="B255" s="27">
        <v>1</v>
      </c>
      <c r="C255" s="27">
        <v>3</v>
      </c>
      <c r="E255" s="2" t="s">
        <v>257</v>
      </c>
      <c r="F255" s="75" t="s">
        <v>66</v>
      </c>
      <c r="H255" s="6" t="s">
        <v>259</v>
      </c>
      <c r="I255" s="27" t="s">
        <v>920</v>
      </c>
      <c r="J255" s="6" t="s">
        <v>931</v>
      </c>
      <c r="K255" s="39" t="s">
        <v>22</v>
      </c>
      <c r="L255" s="34">
        <v>101827</v>
      </c>
      <c r="N255" s="1" t="s">
        <v>81</v>
      </c>
      <c r="O255" s="1" t="s">
        <v>907</v>
      </c>
    </row>
    <row r="256" spans="1:15" x14ac:dyDescent="0.2">
      <c r="A256" s="46">
        <f t="shared" si="9"/>
        <v>2</v>
      </c>
      <c r="B256" s="27">
        <v>1</v>
      </c>
      <c r="C256" s="27">
        <v>1</v>
      </c>
      <c r="E256" s="2" t="s">
        <v>257</v>
      </c>
      <c r="F256" s="75" t="s">
        <v>124</v>
      </c>
      <c r="H256" s="10" t="s">
        <v>259</v>
      </c>
      <c r="I256" s="27" t="s">
        <v>920</v>
      </c>
      <c r="J256" s="6" t="s">
        <v>931</v>
      </c>
      <c r="K256" s="39" t="s">
        <v>22</v>
      </c>
      <c r="L256" s="34">
        <v>101822</v>
      </c>
      <c r="N256" s="1" t="s">
        <v>891</v>
      </c>
      <c r="O256" s="1" t="s">
        <v>907</v>
      </c>
    </row>
    <row r="257" spans="1:15" x14ac:dyDescent="0.2">
      <c r="A257" s="46">
        <f t="shared" si="9"/>
        <v>2</v>
      </c>
      <c r="B257" s="27">
        <v>1</v>
      </c>
      <c r="C257" s="27">
        <v>1</v>
      </c>
      <c r="E257" s="2" t="s">
        <v>257</v>
      </c>
      <c r="F257" s="75" t="s">
        <v>258</v>
      </c>
      <c r="H257" s="6" t="s">
        <v>259</v>
      </c>
      <c r="I257" s="27" t="s">
        <v>920</v>
      </c>
      <c r="J257" s="6" t="s">
        <v>931</v>
      </c>
      <c r="K257" s="39" t="s">
        <v>22</v>
      </c>
      <c r="L257" s="34">
        <v>101838</v>
      </c>
      <c r="M257" t="s">
        <v>895</v>
      </c>
      <c r="N257" s="1" t="s">
        <v>891</v>
      </c>
      <c r="O257" s="1" t="s">
        <v>907</v>
      </c>
    </row>
    <row r="258" spans="1:15" x14ac:dyDescent="0.2">
      <c r="A258" s="46">
        <f t="shared" si="9"/>
        <v>1</v>
      </c>
      <c r="B258" s="27">
        <v>1</v>
      </c>
      <c r="E258" s="2" t="s">
        <v>261</v>
      </c>
      <c r="F258" s="75" t="s">
        <v>27</v>
      </c>
      <c r="H258" s="6" t="s">
        <v>262</v>
      </c>
      <c r="K258" s="39" t="s">
        <v>247</v>
      </c>
      <c r="L258" s="34" t="s">
        <v>263</v>
      </c>
      <c r="O258" s="1" t="s">
        <v>907</v>
      </c>
    </row>
    <row r="259" spans="1:15" x14ac:dyDescent="0.2">
      <c r="A259" s="46">
        <f t="shared" si="9"/>
        <v>3</v>
      </c>
      <c r="B259" s="27">
        <v>1</v>
      </c>
      <c r="C259" s="27">
        <v>2</v>
      </c>
      <c r="E259" s="2" t="s">
        <v>264</v>
      </c>
      <c r="F259" s="75" t="s">
        <v>24</v>
      </c>
      <c r="K259" s="39" t="s">
        <v>17</v>
      </c>
      <c r="O259" s="1" t="s">
        <v>907</v>
      </c>
    </row>
    <row r="260" spans="1:15" x14ac:dyDescent="0.2">
      <c r="A260" s="46">
        <f t="shared" si="9"/>
        <v>4</v>
      </c>
      <c r="B260" s="27">
        <v>1</v>
      </c>
      <c r="C260" s="27">
        <v>3</v>
      </c>
      <c r="E260" s="2" t="s">
        <v>264</v>
      </c>
      <c r="F260" s="75" t="s">
        <v>26</v>
      </c>
      <c r="K260" s="39" t="s">
        <v>17</v>
      </c>
      <c r="O260" s="1" t="s">
        <v>907</v>
      </c>
    </row>
    <row r="261" spans="1:15" x14ac:dyDescent="0.2">
      <c r="A261" s="46">
        <f t="shared" si="9"/>
        <v>1</v>
      </c>
      <c r="B261" s="27">
        <v>1</v>
      </c>
      <c r="E261" s="2" t="s">
        <v>264</v>
      </c>
      <c r="F261" s="75" t="s">
        <v>42</v>
      </c>
      <c r="G261" s="5" t="s">
        <v>1166</v>
      </c>
      <c r="H261" s="6" t="s">
        <v>1167</v>
      </c>
      <c r="I261" s="27" t="s">
        <v>920</v>
      </c>
      <c r="J261" s="6" t="s">
        <v>923</v>
      </c>
      <c r="K261" s="39" t="s">
        <v>22</v>
      </c>
      <c r="L261" s="34">
        <v>162106</v>
      </c>
      <c r="O261" s="1"/>
    </row>
    <row r="262" spans="1:15" x14ac:dyDescent="0.2">
      <c r="A262" s="46">
        <f t="shared" si="9"/>
        <v>2</v>
      </c>
      <c r="B262" s="27">
        <v>1</v>
      </c>
      <c r="C262" s="27">
        <v>1</v>
      </c>
      <c r="E262" s="2" t="s">
        <v>264</v>
      </c>
      <c r="F262" s="75" t="s">
        <v>12</v>
      </c>
      <c r="K262" s="39" t="s">
        <v>17</v>
      </c>
      <c r="O262" s="1" t="s">
        <v>907</v>
      </c>
    </row>
    <row r="263" spans="1:15" x14ac:dyDescent="0.2">
      <c r="A263" s="68">
        <v>2</v>
      </c>
      <c r="B263" s="27">
        <v>1</v>
      </c>
      <c r="C263" s="27">
        <v>1</v>
      </c>
      <c r="E263" s="2" t="s">
        <v>264</v>
      </c>
      <c r="F263" s="7" t="s">
        <v>32</v>
      </c>
      <c r="H263" s="6" t="s">
        <v>265</v>
      </c>
      <c r="I263" s="27" t="s">
        <v>920</v>
      </c>
      <c r="J263" s="6" t="s">
        <v>1233</v>
      </c>
      <c r="K263" s="39" t="s">
        <v>22</v>
      </c>
      <c r="L263" s="34">
        <v>102035</v>
      </c>
      <c r="O263" s="1" t="s">
        <v>907</v>
      </c>
    </row>
    <row r="264" spans="1:15" x14ac:dyDescent="0.2">
      <c r="A264" s="46">
        <f t="shared" ref="A264:A297" si="10">B264+C264</f>
        <v>1</v>
      </c>
      <c r="B264" s="27">
        <v>1</v>
      </c>
      <c r="E264" s="2" t="s">
        <v>264</v>
      </c>
      <c r="F264" s="75" t="s">
        <v>96</v>
      </c>
      <c r="H264" s="6" t="s">
        <v>265</v>
      </c>
      <c r="K264" s="39" t="s">
        <v>22</v>
      </c>
      <c r="L264" s="34">
        <v>102022</v>
      </c>
      <c r="O264" s="1" t="s">
        <v>907</v>
      </c>
    </row>
    <row r="265" spans="1:15" x14ac:dyDescent="0.2">
      <c r="A265" s="46">
        <f t="shared" si="10"/>
        <v>1</v>
      </c>
      <c r="B265" s="27">
        <v>1</v>
      </c>
      <c r="E265" s="2" t="s">
        <v>264</v>
      </c>
      <c r="F265" s="75" t="s">
        <v>33</v>
      </c>
      <c r="H265" s="6" t="s">
        <v>265</v>
      </c>
      <c r="K265" s="39" t="s">
        <v>54</v>
      </c>
      <c r="L265" s="34">
        <v>102008</v>
      </c>
      <c r="O265" s="1" t="s">
        <v>907</v>
      </c>
    </row>
    <row r="266" spans="1:15" x14ac:dyDescent="0.2">
      <c r="A266" s="46">
        <f t="shared" si="10"/>
        <v>2</v>
      </c>
      <c r="B266" s="27">
        <v>1</v>
      </c>
      <c r="C266" s="27">
        <v>1</v>
      </c>
      <c r="E266" s="2" t="s">
        <v>266</v>
      </c>
      <c r="F266" s="75" t="s">
        <v>267</v>
      </c>
      <c r="H266" s="10" t="s">
        <v>265</v>
      </c>
      <c r="I266" s="89"/>
      <c r="J266" s="10"/>
      <c r="K266" s="39" t="s">
        <v>22</v>
      </c>
      <c r="L266" s="34">
        <v>102045</v>
      </c>
      <c r="N266" s="1" t="s">
        <v>891</v>
      </c>
      <c r="O266" s="1" t="s">
        <v>916</v>
      </c>
    </row>
    <row r="267" spans="1:15" x14ac:dyDescent="0.2">
      <c r="A267" s="46">
        <f t="shared" si="10"/>
        <v>1</v>
      </c>
      <c r="B267" s="27">
        <v>1</v>
      </c>
      <c r="E267" s="2" t="s">
        <v>266</v>
      </c>
      <c r="F267" s="75" t="s">
        <v>42</v>
      </c>
      <c r="H267" s="6" t="s">
        <v>268</v>
      </c>
      <c r="K267" s="39" t="s">
        <v>165</v>
      </c>
      <c r="L267" s="34">
        <v>101910</v>
      </c>
      <c r="O267" s="1" t="s">
        <v>907</v>
      </c>
    </row>
    <row r="268" spans="1:15" x14ac:dyDescent="0.2">
      <c r="A268" s="46">
        <f t="shared" si="10"/>
        <v>2</v>
      </c>
      <c r="B268" s="27">
        <v>1</v>
      </c>
      <c r="C268" s="27">
        <v>1</v>
      </c>
      <c r="E268" s="2" t="s">
        <v>266</v>
      </c>
      <c r="F268" s="75" t="s">
        <v>90</v>
      </c>
      <c r="H268" s="6" t="s">
        <v>265</v>
      </c>
      <c r="K268" s="39" t="s">
        <v>22</v>
      </c>
      <c r="L268" s="34">
        <v>102030</v>
      </c>
      <c r="O268" s="1" t="s">
        <v>907</v>
      </c>
    </row>
    <row r="269" spans="1:15" x14ac:dyDescent="0.2">
      <c r="A269" s="46">
        <f t="shared" si="10"/>
        <v>2</v>
      </c>
      <c r="B269" s="27">
        <v>1</v>
      </c>
      <c r="C269" s="27">
        <v>1</v>
      </c>
      <c r="E269" s="2" t="s">
        <v>269</v>
      </c>
      <c r="F269" s="75" t="s">
        <v>33</v>
      </c>
      <c r="H269" s="6" t="s">
        <v>270</v>
      </c>
      <c r="K269" s="39" t="s">
        <v>22</v>
      </c>
      <c r="L269" s="34">
        <v>137803</v>
      </c>
      <c r="O269" s="1" t="s">
        <v>907</v>
      </c>
    </row>
    <row r="270" spans="1:15" x14ac:dyDescent="0.2">
      <c r="A270" s="46">
        <f t="shared" si="10"/>
        <v>2</v>
      </c>
      <c r="B270" s="27">
        <v>1</v>
      </c>
      <c r="C270" s="27">
        <v>1</v>
      </c>
      <c r="E270" s="2" t="s">
        <v>269</v>
      </c>
      <c r="F270" s="75" t="s">
        <v>70</v>
      </c>
      <c r="G270" s="5" t="s">
        <v>1181</v>
      </c>
      <c r="H270" s="6" t="s">
        <v>270</v>
      </c>
      <c r="I270" s="27" t="s">
        <v>920</v>
      </c>
      <c r="J270" s="6" t="s">
        <v>914</v>
      </c>
      <c r="K270" s="39" t="s">
        <v>22</v>
      </c>
      <c r="L270" s="34">
        <v>137810</v>
      </c>
      <c r="O270" s="1"/>
    </row>
    <row r="271" spans="1:15" x14ac:dyDescent="0.2">
      <c r="A271" s="46">
        <f t="shared" si="10"/>
        <v>1</v>
      </c>
      <c r="B271" s="27">
        <v>1</v>
      </c>
      <c r="E271" s="2" t="s">
        <v>271</v>
      </c>
      <c r="F271" s="75" t="s">
        <v>27</v>
      </c>
      <c r="H271" s="6" t="s">
        <v>272</v>
      </c>
      <c r="K271" s="39" t="s">
        <v>22</v>
      </c>
      <c r="L271" s="34">
        <v>558753</v>
      </c>
      <c r="O271" s="1" t="s">
        <v>907</v>
      </c>
    </row>
    <row r="272" spans="1:15" x14ac:dyDescent="0.2">
      <c r="A272" s="46">
        <f t="shared" si="10"/>
        <v>2</v>
      </c>
      <c r="B272" s="27">
        <v>1</v>
      </c>
      <c r="C272" s="27">
        <v>1</v>
      </c>
      <c r="E272" s="2" t="s">
        <v>271</v>
      </c>
      <c r="F272" s="75" t="s">
        <v>109</v>
      </c>
      <c r="H272" s="6" t="s">
        <v>272</v>
      </c>
      <c r="K272" s="39" t="s">
        <v>22</v>
      </c>
      <c r="L272" s="34">
        <v>124233</v>
      </c>
      <c r="O272" s="1" t="s">
        <v>907</v>
      </c>
    </row>
    <row r="273" spans="1:15" x14ac:dyDescent="0.2">
      <c r="A273" s="46">
        <f t="shared" si="10"/>
        <v>1</v>
      </c>
      <c r="B273" s="27">
        <v>1</v>
      </c>
      <c r="E273" s="25" t="s">
        <v>271</v>
      </c>
      <c r="F273" s="22" t="s">
        <v>33</v>
      </c>
      <c r="G273" s="29" t="s">
        <v>13</v>
      </c>
      <c r="H273" s="20" t="s">
        <v>274</v>
      </c>
      <c r="I273" s="85" t="s">
        <v>1194</v>
      </c>
      <c r="J273" s="20" t="s">
        <v>317</v>
      </c>
      <c r="K273" s="37" t="s">
        <v>22</v>
      </c>
      <c r="L273" s="32">
        <v>124209</v>
      </c>
      <c r="O273" s="1" t="s">
        <v>907</v>
      </c>
    </row>
    <row r="274" spans="1:15" x14ac:dyDescent="0.2">
      <c r="A274" s="46">
        <f t="shared" si="10"/>
        <v>1</v>
      </c>
      <c r="B274" s="27">
        <v>1</v>
      </c>
      <c r="E274" s="2" t="s">
        <v>271</v>
      </c>
      <c r="F274" s="75" t="s">
        <v>273</v>
      </c>
      <c r="H274" s="6" t="s">
        <v>274</v>
      </c>
      <c r="K274" s="39" t="s">
        <v>22</v>
      </c>
      <c r="L274" s="34">
        <v>123213</v>
      </c>
      <c r="O274" s="1" t="s">
        <v>907</v>
      </c>
    </row>
    <row r="275" spans="1:15" x14ac:dyDescent="0.2">
      <c r="A275" s="46">
        <f t="shared" si="10"/>
        <v>1</v>
      </c>
      <c r="B275" s="27">
        <v>1</v>
      </c>
      <c r="E275" s="2" t="s">
        <v>1227</v>
      </c>
      <c r="F275" s="75" t="s">
        <v>85</v>
      </c>
      <c r="G275" s="5" t="s">
        <v>1229</v>
      </c>
      <c r="H275" s="6" t="s">
        <v>1228</v>
      </c>
      <c r="I275" s="27" t="s">
        <v>920</v>
      </c>
      <c r="K275" s="39" t="s">
        <v>203</v>
      </c>
      <c r="L275" s="34">
        <v>564716</v>
      </c>
      <c r="O275" s="1" t="s">
        <v>907</v>
      </c>
    </row>
    <row r="276" spans="1:15" x14ac:dyDescent="0.2">
      <c r="A276" s="46">
        <f t="shared" si="10"/>
        <v>1</v>
      </c>
      <c r="B276" s="27">
        <v>1</v>
      </c>
      <c r="E276" s="2" t="s">
        <v>1153</v>
      </c>
      <c r="F276" s="75" t="s">
        <v>90</v>
      </c>
      <c r="G276" s="5" t="s">
        <v>1154</v>
      </c>
      <c r="H276" s="6" t="s">
        <v>1155</v>
      </c>
      <c r="I276" s="27" t="s">
        <v>920</v>
      </c>
      <c r="J276" s="6" t="s">
        <v>931</v>
      </c>
      <c r="K276" s="39" t="s">
        <v>22</v>
      </c>
      <c r="L276" s="34">
        <v>117423</v>
      </c>
      <c r="O276" s="1" t="s">
        <v>907</v>
      </c>
    </row>
    <row r="277" spans="1:15" x14ac:dyDescent="0.2">
      <c r="A277" s="46">
        <f t="shared" si="10"/>
        <v>1</v>
      </c>
      <c r="B277" s="27">
        <v>1</v>
      </c>
      <c r="E277" s="2" t="s">
        <v>874</v>
      </c>
      <c r="F277" s="75" t="s">
        <v>110</v>
      </c>
      <c r="G277" s="5" t="s">
        <v>875</v>
      </c>
      <c r="H277" s="6" t="s">
        <v>1145</v>
      </c>
      <c r="I277" s="27" t="s">
        <v>920</v>
      </c>
      <c r="J277" s="6" t="s">
        <v>923</v>
      </c>
      <c r="K277" s="39" t="s">
        <v>22</v>
      </c>
      <c r="L277" s="34">
        <v>135231</v>
      </c>
      <c r="O277" s="1" t="s">
        <v>907</v>
      </c>
    </row>
    <row r="278" spans="1:15" x14ac:dyDescent="0.2">
      <c r="A278" s="46">
        <f t="shared" si="10"/>
        <v>2</v>
      </c>
      <c r="B278" s="27">
        <v>1</v>
      </c>
      <c r="C278" s="27">
        <v>1</v>
      </c>
      <c r="E278" s="2" t="s">
        <v>275</v>
      </c>
      <c r="F278" s="75" t="s">
        <v>12</v>
      </c>
      <c r="K278" s="39" t="s">
        <v>17</v>
      </c>
      <c r="O278" s="1" t="s">
        <v>907</v>
      </c>
    </row>
    <row r="279" spans="1:15" x14ac:dyDescent="0.2">
      <c r="A279" s="46">
        <f t="shared" si="10"/>
        <v>1</v>
      </c>
      <c r="B279" s="27">
        <v>1</v>
      </c>
      <c r="E279" s="2" t="s">
        <v>275</v>
      </c>
      <c r="F279" s="75" t="s">
        <v>12</v>
      </c>
      <c r="K279" s="39" t="s">
        <v>22</v>
      </c>
      <c r="L279" s="34">
        <v>102104</v>
      </c>
      <c r="O279" s="1" t="s">
        <v>907</v>
      </c>
    </row>
    <row r="280" spans="1:15" x14ac:dyDescent="0.2">
      <c r="A280" s="46">
        <f t="shared" si="10"/>
        <v>1</v>
      </c>
      <c r="B280" s="27">
        <v>1</v>
      </c>
      <c r="E280" s="2" t="s">
        <v>275</v>
      </c>
      <c r="F280" s="75" t="s">
        <v>85</v>
      </c>
      <c r="H280" s="6" t="s">
        <v>276</v>
      </c>
      <c r="K280" s="39" t="s">
        <v>22</v>
      </c>
      <c r="L280" s="34">
        <v>102127</v>
      </c>
      <c r="O280" s="1" t="s">
        <v>907</v>
      </c>
    </row>
    <row r="281" spans="1:15" x14ac:dyDescent="0.2">
      <c r="A281" s="46">
        <f t="shared" si="10"/>
        <v>1</v>
      </c>
      <c r="B281" s="27">
        <v>1</v>
      </c>
      <c r="E281" s="2" t="s">
        <v>275</v>
      </c>
      <c r="F281" s="75" t="s">
        <v>33</v>
      </c>
      <c r="H281" s="6">
        <v>37.51</v>
      </c>
      <c r="K281" s="39" t="s">
        <v>22</v>
      </c>
      <c r="L281" s="34">
        <v>102106</v>
      </c>
      <c r="O281" s="1" t="s">
        <v>907</v>
      </c>
    </row>
    <row r="282" spans="1:15" x14ac:dyDescent="0.2">
      <c r="A282" s="46">
        <f t="shared" si="10"/>
        <v>1</v>
      </c>
      <c r="B282" s="27">
        <v>1</v>
      </c>
      <c r="E282" s="2" t="s">
        <v>275</v>
      </c>
      <c r="F282" s="75" t="s">
        <v>70</v>
      </c>
      <c r="H282" s="6" t="s">
        <v>276</v>
      </c>
      <c r="K282" s="39" t="s">
        <v>54</v>
      </c>
      <c r="L282" s="34">
        <v>102126</v>
      </c>
      <c r="O282" s="1" t="s">
        <v>907</v>
      </c>
    </row>
    <row r="283" spans="1:15" x14ac:dyDescent="0.2">
      <c r="A283" s="46">
        <f t="shared" si="10"/>
        <v>2</v>
      </c>
      <c r="B283" s="27">
        <v>1</v>
      </c>
      <c r="C283" s="27">
        <v>1</v>
      </c>
      <c r="E283" s="2" t="s">
        <v>275</v>
      </c>
      <c r="F283" s="75" t="s">
        <v>164</v>
      </c>
      <c r="H283" s="6">
        <v>37.51</v>
      </c>
      <c r="K283" s="39" t="s">
        <v>22</v>
      </c>
      <c r="L283" s="34">
        <v>102102</v>
      </c>
      <c r="O283" s="1" t="s">
        <v>907</v>
      </c>
    </row>
    <row r="284" spans="1:15" x14ac:dyDescent="0.2">
      <c r="A284" s="46">
        <f t="shared" si="10"/>
        <v>1</v>
      </c>
      <c r="B284" s="27">
        <v>1</v>
      </c>
      <c r="E284" s="2" t="s">
        <v>275</v>
      </c>
      <c r="F284" s="75"/>
      <c r="H284" s="6">
        <v>37.51</v>
      </c>
      <c r="K284" s="39" t="s">
        <v>17</v>
      </c>
      <c r="O284" s="1" t="s">
        <v>907</v>
      </c>
    </row>
    <row r="285" spans="1:15" x14ac:dyDescent="0.2">
      <c r="A285" s="46">
        <f t="shared" si="10"/>
        <v>1</v>
      </c>
      <c r="B285" s="27">
        <v>1</v>
      </c>
      <c r="E285" s="2" t="s">
        <v>1137</v>
      </c>
      <c r="F285" s="75" t="s">
        <v>33</v>
      </c>
      <c r="G285" s="5" t="s">
        <v>1139</v>
      </c>
      <c r="H285" s="6" t="s">
        <v>1138</v>
      </c>
      <c r="I285" s="27" t="s">
        <v>920</v>
      </c>
      <c r="J285" s="6" t="s">
        <v>919</v>
      </c>
      <c r="K285" s="39" t="s">
        <v>22</v>
      </c>
      <c r="L285" s="34">
        <v>160003</v>
      </c>
      <c r="O285" s="1" t="s">
        <v>907</v>
      </c>
    </row>
    <row r="286" spans="1:15" x14ac:dyDescent="0.2">
      <c r="A286" s="46">
        <f t="shared" si="10"/>
        <v>1</v>
      </c>
      <c r="B286" s="27">
        <v>1</v>
      </c>
      <c r="D286" s="27">
        <v>1</v>
      </c>
      <c r="E286" s="2" t="s">
        <v>277</v>
      </c>
      <c r="F286" s="75" t="s">
        <v>27</v>
      </c>
      <c r="G286" s="5" t="s">
        <v>278</v>
      </c>
      <c r="H286" s="10" t="s">
        <v>279</v>
      </c>
      <c r="I286" s="89"/>
      <c r="J286" s="10"/>
      <c r="K286" s="39" t="s">
        <v>48</v>
      </c>
      <c r="L286" s="34" t="s">
        <v>280</v>
      </c>
      <c r="N286" s="1" t="s">
        <v>886</v>
      </c>
      <c r="O286" s="1" t="s">
        <v>907</v>
      </c>
    </row>
    <row r="287" spans="1:15" x14ac:dyDescent="0.2">
      <c r="A287" s="46">
        <f t="shared" si="10"/>
        <v>1</v>
      </c>
      <c r="B287" s="27">
        <v>1</v>
      </c>
      <c r="E287" s="2" t="s">
        <v>1221</v>
      </c>
      <c r="F287" s="75" t="s">
        <v>313</v>
      </c>
      <c r="H287" s="10" t="s">
        <v>1222</v>
      </c>
      <c r="I287" s="89" t="s">
        <v>1109</v>
      </c>
      <c r="J287" s="10" t="s">
        <v>317</v>
      </c>
      <c r="K287" s="39" t="s">
        <v>22</v>
      </c>
      <c r="O287" s="1" t="s">
        <v>907</v>
      </c>
    </row>
    <row r="288" spans="1:15" x14ac:dyDescent="0.2">
      <c r="A288" s="46">
        <f t="shared" si="10"/>
        <v>4</v>
      </c>
      <c r="B288" s="27">
        <v>1</v>
      </c>
      <c r="C288" s="27">
        <v>3</v>
      </c>
      <c r="D288" s="27">
        <v>1</v>
      </c>
      <c r="E288" s="2" t="s">
        <v>281</v>
      </c>
      <c r="F288" s="75" t="s">
        <v>24</v>
      </c>
      <c r="K288" s="39" t="s">
        <v>17</v>
      </c>
      <c r="O288" s="1" t="s">
        <v>907</v>
      </c>
    </row>
    <row r="289" spans="1:15" x14ac:dyDescent="0.2">
      <c r="A289" s="46">
        <f t="shared" si="10"/>
        <v>2</v>
      </c>
      <c r="B289" s="27">
        <v>1</v>
      </c>
      <c r="C289" s="27">
        <v>1</v>
      </c>
      <c r="E289" s="2" t="s">
        <v>281</v>
      </c>
      <c r="F289" s="75" t="s">
        <v>42</v>
      </c>
      <c r="G289" s="5" t="s">
        <v>1014</v>
      </c>
      <c r="H289" s="6" t="s">
        <v>282</v>
      </c>
      <c r="I289" s="27" t="s">
        <v>920</v>
      </c>
      <c r="J289" s="6" t="s">
        <v>931</v>
      </c>
      <c r="K289" s="39" t="s">
        <v>22</v>
      </c>
      <c r="L289" s="34">
        <v>100236</v>
      </c>
      <c r="O289" s="1" t="s">
        <v>908</v>
      </c>
    </row>
    <row r="290" spans="1:15" x14ac:dyDescent="0.2">
      <c r="A290" s="46">
        <f t="shared" si="10"/>
        <v>3</v>
      </c>
      <c r="B290" s="27">
        <v>1</v>
      </c>
      <c r="C290" s="27">
        <v>2</v>
      </c>
      <c r="E290" s="2" t="s">
        <v>281</v>
      </c>
      <c r="F290" s="75" t="s">
        <v>27</v>
      </c>
      <c r="G290" s="5" t="s">
        <v>1014</v>
      </c>
      <c r="H290" s="10" t="s">
        <v>282</v>
      </c>
      <c r="I290" s="27" t="s">
        <v>920</v>
      </c>
      <c r="J290" s="6" t="s">
        <v>931</v>
      </c>
      <c r="K290" s="39" t="s">
        <v>22</v>
      </c>
      <c r="L290" s="34">
        <v>100244</v>
      </c>
      <c r="N290" s="1" t="s">
        <v>891</v>
      </c>
      <c r="O290" s="1" t="s">
        <v>907</v>
      </c>
    </row>
    <row r="291" spans="1:15" x14ac:dyDescent="0.2">
      <c r="A291" s="46">
        <f t="shared" si="10"/>
        <v>2</v>
      </c>
      <c r="B291" s="27">
        <v>1</v>
      </c>
      <c r="C291" s="27">
        <v>1</v>
      </c>
      <c r="E291" s="2" t="s">
        <v>281</v>
      </c>
      <c r="F291" s="75" t="s">
        <v>85</v>
      </c>
      <c r="G291" s="5" t="s">
        <v>1014</v>
      </c>
      <c r="H291" s="6" t="s">
        <v>282</v>
      </c>
      <c r="I291" s="27" t="s">
        <v>920</v>
      </c>
      <c r="J291" s="6" t="s">
        <v>931</v>
      </c>
      <c r="K291" s="39" t="s">
        <v>22</v>
      </c>
      <c r="L291" s="34">
        <v>100228</v>
      </c>
      <c r="O291" s="1" t="s">
        <v>907</v>
      </c>
    </row>
    <row r="292" spans="1:15" x14ac:dyDescent="0.2">
      <c r="A292" s="46">
        <f t="shared" si="10"/>
        <v>3</v>
      </c>
      <c r="B292" s="27">
        <v>1</v>
      </c>
      <c r="C292" s="27">
        <v>2</v>
      </c>
      <c r="E292" s="2" t="s">
        <v>281</v>
      </c>
      <c r="F292" s="75" t="s">
        <v>30</v>
      </c>
      <c r="G292" s="5" t="s">
        <v>1014</v>
      </c>
      <c r="H292" s="10" t="s">
        <v>282</v>
      </c>
      <c r="I292" s="27" t="s">
        <v>920</v>
      </c>
      <c r="J292" s="6" t="s">
        <v>931</v>
      </c>
      <c r="K292" s="39" t="s">
        <v>22</v>
      </c>
      <c r="L292" s="34">
        <v>100204</v>
      </c>
      <c r="N292" s="1" t="s">
        <v>887</v>
      </c>
      <c r="O292" s="1" t="s">
        <v>907</v>
      </c>
    </row>
    <row r="293" spans="1:15" x14ac:dyDescent="0.2">
      <c r="A293" s="46">
        <f t="shared" si="10"/>
        <v>2</v>
      </c>
      <c r="B293" s="27">
        <v>1</v>
      </c>
      <c r="C293" s="27">
        <v>1</v>
      </c>
      <c r="E293" s="2" t="s">
        <v>281</v>
      </c>
      <c r="F293" s="75" t="s">
        <v>51</v>
      </c>
      <c r="G293" s="5" t="s">
        <v>1014</v>
      </c>
      <c r="H293" s="10" t="s">
        <v>282</v>
      </c>
      <c r="I293" s="27" t="s">
        <v>920</v>
      </c>
      <c r="J293" s="6" t="s">
        <v>931</v>
      </c>
      <c r="K293" s="40" t="s">
        <v>22</v>
      </c>
      <c r="L293" s="34">
        <v>100214</v>
      </c>
      <c r="N293" s="1" t="s">
        <v>888</v>
      </c>
      <c r="O293" s="1" t="s">
        <v>907</v>
      </c>
    </row>
    <row r="294" spans="1:15" x14ac:dyDescent="0.2">
      <c r="A294" s="46">
        <f t="shared" si="10"/>
        <v>3</v>
      </c>
      <c r="B294" s="27">
        <v>1</v>
      </c>
      <c r="C294" s="27">
        <v>2</v>
      </c>
      <c r="E294" s="2" t="s">
        <v>281</v>
      </c>
      <c r="F294" s="75" t="s">
        <v>124</v>
      </c>
      <c r="G294" s="5" t="s">
        <v>1014</v>
      </c>
      <c r="H294" s="10" t="s">
        <v>282</v>
      </c>
      <c r="I294" s="27" t="s">
        <v>920</v>
      </c>
      <c r="J294" s="6" t="s">
        <v>931</v>
      </c>
      <c r="K294" s="39" t="s">
        <v>22</v>
      </c>
      <c r="L294" s="34">
        <v>100320</v>
      </c>
      <c r="O294" s="1" t="s">
        <v>907</v>
      </c>
    </row>
    <row r="295" spans="1:15" x14ac:dyDescent="0.2">
      <c r="A295" s="46">
        <f t="shared" si="10"/>
        <v>2</v>
      </c>
      <c r="B295" s="27">
        <v>1</v>
      </c>
      <c r="C295" s="27">
        <v>1</v>
      </c>
      <c r="E295" s="2" t="s">
        <v>281</v>
      </c>
      <c r="F295" s="75" t="s">
        <v>177</v>
      </c>
      <c r="G295" s="5" t="s">
        <v>1014</v>
      </c>
      <c r="H295" s="6" t="s">
        <v>282</v>
      </c>
      <c r="I295" s="27" t="s">
        <v>920</v>
      </c>
      <c r="J295" s="6" t="s">
        <v>931</v>
      </c>
      <c r="K295" s="39" t="s">
        <v>22</v>
      </c>
      <c r="L295" s="34">
        <v>100246</v>
      </c>
      <c r="O295" s="1" t="s">
        <v>907</v>
      </c>
    </row>
    <row r="296" spans="1:15" x14ac:dyDescent="0.2">
      <c r="A296" s="46">
        <f t="shared" si="10"/>
        <v>2</v>
      </c>
      <c r="B296" s="27">
        <v>1</v>
      </c>
      <c r="C296" s="27">
        <v>1</v>
      </c>
      <c r="E296" s="2" t="s">
        <v>281</v>
      </c>
      <c r="F296" s="75" t="s">
        <v>1106</v>
      </c>
      <c r="G296" s="5" t="s">
        <v>1014</v>
      </c>
      <c r="H296" s="6" t="s">
        <v>282</v>
      </c>
      <c r="I296" s="27" t="s">
        <v>920</v>
      </c>
      <c r="J296" s="6" t="s">
        <v>931</v>
      </c>
      <c r="K296" s="39" t="s">
        <v>22</v>
      </c>
      <c r="L296" s="34">
        <v>100272</v>
      </c>
      <c r="O296" s="1" t="s">
        <v>907</v>
      </c>
    </row>
    <row r="297" spans="1:15" x14ac:dyDescent="0.2">
      <c r="A297" s="46">
        <f t="shared" si="10"/>
        <v>1</v>
      </c>
      <c r="B297" s="27">
        <v>1</v>
      </c>
      <c r="E297" s="2" t="s">
        <v>281</v>
      </c>
      <c r="F297" s="75" t="s">
        <v>1199</v>
      </c>
      <c r="G297" s="5" t="s">
        <v>1014</v>
      </c>
      <c r="H297" s="10" t="s">
        <v>282</v>
      </c>
      <c r="I297" s="27" t="s">
        <v>920</v>
      </c>
      <c r="J297" s="6" t="s">
        <v>931</v>
      </c>
      <c r="K297" s="39" t="s">
        <v>22</v>
      </c>
      <c r="L297" s="34">
        <v>100277</v>
      </c>
      <c r="O297" s="1" t="s">
        <v>907</v>
      </c>
    </row>
    <row r="298" spans="1:15" x14ac:dyDescent="0.2">
      <c r="A298" s="68">
        <v>1</v>
      </c>
      <c r="B298" s="27">
        <v>1</v>
      </c>
      <c r="E298" s="2" t="s">
        <v>281</v>
      </c>
      <c r="F298" s="7" t="s">
        <v>90</v>
      </c>
      <c r="H298" s="6" t="s">
        <v>282</v>
      </c>
      <c r="I298" s="27" t="s">
        <v>920</v>
      </c>
      <c r="K298" s="39" t="s">
        <v>39</v>
      </c>
      <c r="L298" s="34">
        <v>560527</v>
      </c>
    </row>
    <row r="299" spans="1:15" x14ac:dyDescent="0.2">
      <c r="A299" s="46">
        <f t="shared" ref="A299:A362" si="11">B299+C299</f>
        <v>2</v>
      </c>
      <c r="B299" s="27">
        <v>1</v>
      </c>
      <c r="C299" s="27">
        <v>1</v>
      </c>
      <c r="E299" s="2" t="s">
        <v>281</v>
      </c>
      <c r="F299" s="75" t="s">
        <v>164</v>
      </c>
      <c r="G299" s="5" t="s">
        <v>1014</v>
      </c>
      <c r="H299" s="6" t="s">
        <v>282</v>
      </c>
      <c r="I299" s="27" t="s">
        <v>920</v>
      </c>
      <c r="J299" s="6" t="s">
        <v>931</v>
      </c>
      <c r="K299" s="39" t="s">
        <v>22</v>
      </c>
      <c r="L299" s="34">
        <v>100202</v>
      </c>
      <c r="O299" s="1" t="s">
        <v>908</v>
      </c>
    </row>
    <row r="300" spans="1:15" x14ac:dyDescent="0.2">
      <c r="A300" s="46">
        <f t="shared" si="11"/>
        <v>1</v>
      </c>
      <c r="B300" s="27">
        <v>1</v>
      </c>
      <c r="E300" s="2" t="s">
        <v>1008</v>
      </c>
      <c r="F300" s="75" t="s">
        <v>881</v>
      </c>
      <c r="G300" s="5" t="s">
        <v>315</v>
      </c>
      <c r="H300" s="6" t="s">
        <v>282</v>
      </c>
      <c r="I300" s="27" t="s">
        <v>920</v>
      </c>
      <c r="J300" s="6" t="s">
        <v>1012</v>
      </c>
      <c r="K300" s="39" t="s">
        <v>203</v>
      </c>
      <c r="L300" s="34">
        <v>565642</v>
      </c>
      <c r="M300" t="s">
        <v>1013</v>
      </c>
      <c r="O300" s="1" t="s">
        <v>1009</v>
      </c>
    </row>
    <row r="301" spans="1:15" x14ac:dyDescent="0.2">
      <c r="A301" s="46">
        <f t="shared" si="11"/>
        <v>2</v>
      </c>
      <c r="B301" s="27">
        <v>1</v>
      </c>
      <c r="C301" s="27">
        <v>1</v>
      </c>
      <c r="E301" s="2" t="s">
        <v>284</v>
      </c>
      <c r="F301" s="75" t="s">
        <v>33</v>
      </c>
      <c r="H301" s="10" t="s">
        <v>285</v>
      </c>
      <c r="I301" s="89"/>
      <c r="J301" s="10"/>
      <c r="K301" s="39" t="s">
        <v>22</v>
      </c>
      <c r="L301" s="34">
        <v>148003</v>
      </c>
      <c r="N301" s="1" t="s">
        <v>888</v>
      </c>
      <c r="O301" s="1" t="s">
        <v>907</v>
      </c>
    </row>
    <row r="302" spans="1:15" x14ac:dyDescent="0.2">
      <c r="A302" s="46">
        <f t="shared" si="11"/>
        <v>1</v>
      </c>
      <c r="B302" s="27">
        <v>1</v>
      </c>
      <c r="E302" s="2" t="s">
        <v>935</v>
      </c>
      <c r="F302" s="75" t="s">
        <v>124</v>
      </c>
      <c r="G302" s="5" t="s">
        <v>936</v>
      </c>
      <c r="H302" s="10" t="s">
        <v>937</v>
      </c>
      <c r="I302" s="89" t="s">
        <v>920</v>
      </c>
      <c r="J302" s="10" t="s">
        <v>923</v>
      </c>
      <c r="K302" s="39" t="s">
        <v>22</v>
      </c>
      <c r="L302" s="34">
        <v>145609</v>
      </c>
      <c r="O302" s="1" t="s">
        <v>907</v>
      </c>
    </row>
    <row r="303" spans="1:15" x14ac:dyDescent="0.2">
      <c r="A303" s="46">
        <f t="shared" si="11"/>
        <v>3</v>
      </c>
      <c r="B303" s="27">
        <v>1</v>
      </c>
      <c r="C303" s="27">
        <v>2</v>
      </c>
      <c r="E303" s="2" t="s">
        <v>286</v>
      </c>
      <c r="F303" s="75" t="s">
        <v>287</v>
      </c>
      <c r="G303" s="5" t="s">
        <v>288</v>
      </c>
      <c r="H303" s="6" t="s">
        <v>289</v>
      </c>
      <c r="K303" s="39" t="s">
        <v>48</v>
      </c>
      <c r="L303" s="34" t="s">
        <v>290</v>
      </c>
      <c r="N303" s="1" t="s">
        <v>81</v>
      </c>
      <c r="O303" s="1" t="s">
        <v>907</v>
      </c>
    </row>
    <row r="304" spans="1:15" x14ac:dyDescent="0.2">
      <c r="A304" s="46">
        <f t="shared" si="11"/>
        <v>1</v>
      </c>
      <c r="B304" s="27">
        <v>1</v>
      </c>
      <c r="E304" s="2" t="s">
        <v>291</v>
      </c>
      <c r="F304" s="75" t="s">
        <v>267</v>
      </c>
      <c r="G304" s="5" t="s">
        <v>976</v>
      </c>
      <c r="H304" s="6">
        <v>390</v>
      </c>
      <c r="I304" s="27" t="s">
        <v>920</v>
      </c>
      <c r="J304" s="6" t="s">
        <v>923</v>
      </c>
      <c r="K304" s="39" t="s">
        <v>22</v>
      </c>
      <c r="L304" s="34">
        <v>102432</v>
      </c>
      <c r="O304" s="1" t="s">
        <v>913</v>
      </c>
    </row>
    <row r="305" spans="1:15" x14ac:dyDescent="0.2">
      <c r="A305" s="46">
        <f t="shared" si="11"/>
        <v>1</v>
      </c>
      <c r="B305" s="27">
        <v>1</v>
      </c>
      <c r="E305" s="2" t="s">
        <v>291</v>
      </c>
      <c r="F305" s="75" t="s">
        <v>57</v>
      </c>
      <c r="G305" s="5" t="s">
        <v>976</v>
      </c>
      <c r="H305" s="6">
        <v>390</v>
      </c>
      <c r="I305" s="27" t="s">
        <v>920</v>
      </c>
      <c r="J305" s="6" t="s">
        <v>923</v>
      </c>
      <c r="K305" s="39" t="s">
        <v>22</v>
      </c>
      <c r="L305" s="34">
        <v>102415</v>
      </c>
      <c r="O305" s="1" t="s">
        <v>908</v>
      </c>
    </row>
    <row r="306" spans="1:15" x14ac:dyDescent="0.2">
      <c r="A306" s="46">
        <f t="shared" si="11"/>
        <v>1</v>
      </c>
      <c r="B306" s="27">
        <v>1</v>
      </c>
      <c r="E306" s="2" t="s">
        <v>291</v>
      </c>
      <c r="F306" s="75" t="s">
        <v>33</v>
      </c>
      <c r="K306" s="39" t="s">
        <v>247</v>
      </c>
      <c r="L306" s="34" t="s">
        <v>292</v>
      </c>
      <c r="O306" s="1" t="s">
        <v>907</v>
      </c>
    </row>
    <row r="307" spans="1:15" x14ac:dyDescent="0.2">
      <c r="A307" s="46">
        <f t="shared" si="11"/>
        <v>1</v>
      </c>
      <c r="B307" s="27">
        <v>1</v>
      </c>
      <c r="E307" s="2" t="s">
        <v>291</v>
      </c>
      <c r="F307" s="75" t="s">
        <v>912</v>
      </c>
      <c r="G307" s="5" t="s">
        <v>976</v>
      </c>
      <c r="H307" s="6">
        <v>390</v>
      </c>
      <c r="I307" s="27" t="s">
        <v>920</v>
      </c>
      <c r="J307" s="6" t="s">
        <v>923</v>
      </c>
      <c r="K307" s="39" t="s">
        <v>22</v>
      </c>
      <c r="L307" s="34">
        <v>102447</v>
      </c>
      <c r="O307" s="1" t="s">
        <v>913</v>
      </c>
    </row>
    <row r="308" spans="1:15" x14ac:dyDescent="0.2">
      <c r="A308" s="46">
        <f t="shared" si="11"/>
        <v>1</v>
      </c>
      <c r="B308" s="27">
        <v>1</v>
      </c>
      <c r="E308" s="2" t="s">
        <v>293</v>
      </c>
      <c r="F308" s="75" t="s">
        <v>24</v>
      </c>
      <c r="G308" s="5" t="s">
        <v>294</v>
      </c>
      <c r="K308" s="39" t="s">
        <v>20</v>
      </c>
      <c r="N308" s="119"/>
      <c r="O308" s="1" t="s">
        <v>907</v>
      </c>
    </row>
    <row r="309" spans="1:15" x14ac:dyDescent="0.2">
      <c r="A309" s="46">
        <f t="shared" si="11"/>
        <v>3</v>
      </c>
      <c r="B309" s="27">
        <v>1</v>
      </c>
      <c r="C309" s="27">
        <v>2</v>
      </c>
      <c r="E309" s="2" t="s">
        <v>293</v>
      </c>
      <c r="F309" s="75" t="s">
        <v>139</v>
      </c>
      <c r="G309" s="5" t="s">
        <v>294</v>
      </c>
      <c r="H309" s="6">
        <v>927</v>
      </c>
      <c r="I309" s="89" t="s">
        <v>920</v>
      </c>
      <c r="J309" s="6" t="s">
        <v>931</v>
      </c>
      <c r="K309" s="39" t="s">
        <v>22</v>
      </c>
      <c r="L309" s="34">
        <v>127012</v>
      </c>
      <c r="N309" s="1" t="s">
        <v>888</v>
      </c>
      <c r="O309" s="1" t="s">
        <v>907</v>
      </c>
    </row>
    <row r="310" spans="1:15" x14ac:dyDescent="0.2">
      <c r="A310" s="46">
        <f t="shared" si="11"/>
        <v>1</v>
      </c>
      <c r="B310" s="27">
        <v>1</v>
      </c>
      <c r="E310" s="2" t="s">
        <v>293</v>
      </c>
      <c r="F310" s="75" t="s">
        <v>27</v>
      </c>
      <c r="G310" s="5" t="s">
        <v>294</v>
      </c>
      <c r="H310" s="10">
        <v>927</v>
      </c>
      <c r="I310" s="89"/>
      <c r="J310" s="10"/>
      <c r="K310" s="39" t="s">
        <v>14</v>
      </c>
      <c r="N310" s="4" t="s">
        <v>896</v>
      </c>
      <c r="O310" s="1" t="s">
        <v>907</v>
      </c>
    </row>
    <row r="311" spans="1:15" x14ac:dyDescent="0.2">
      <c r="A311" s="46">
        <f t="shared" si="11"/>
        <v>1</v>
      </c>
      <c r="B311" s="27">
        <v>1</v>
      </c>
      <c r="E311" s="2" t="s">
        <v>293</v>
      </c>
      <c r="F311" s="75" t="s">
        <v>250</v>
      </c>
      <c r="G311" s="5" t="s">
        <v>294</v>
      </c>
      <c r="H311" s="10">
        <v>927</v>
      </c>
      <c r="I311" s="89" t="s">
        <v>920</v>
      </c>
      <c r="J311" s="6" t="s">
        <v>931</v>
      </c>
      <c r="K311" s="39" t="s">
        <v>22</v>
      </c>
      <c r="L311" s="34">
        <v>127019</v>
      </c>
      <c r="M311" s="1" t="s">
        <v>82</v>
      </c>
      <c r="N311" s="1" t="s">
        <v>889</v>
      </c>
      <c r="O311" s="1" t="s">
        <v>907</v>
      </c>
    </row>
    <row r="312" spans="1:15" x14ac:dyDescent="0.2">
      <c r="A312" s="46">
        <f t="shared" si="11"/>
        <v>2</v>
      </c>
      <c r="B312" s="27">
        <v>1</v>
      </c>
      <c r="C312" s="27">
        <v>1</v>
      </c>
      <c r="E312" s="2" t="s">
        <v>293</v>
      </c>
      <c r="F312" s="75" t="s">
        <v>110</v>
      </c>
      <c r="H312" s="6">
        <v>927</v>
      </c>
      <c r="I312" s="89" t="s">
        <v>920</v>
      </c>
      <c r="J312" s="6" t="s">
        <v>931</v>
      </c>
      <c r="K312" s="39" t="s">
        <v>22</v>
      </c>
      <c r="L312" s="34">
        <v>127039</v>
      </c>
      <c r="O312" s="1" t="s">
        <v>907</v>
      </c>
    </row>
    <row r="313" spans="1:15" x14ac:dyDescent="0.2">
      <c r="A313" s="46">
        <f t="shared" si="11"/>
        <v>1</v>
      </c>
      <c r="B313" s="27">
        <v>1</v>
      </c>
      <c r="E313" s="2" t="s">
        <v>293</v>
      </c>
      <c r="F313" s="75" t="s">
        <v>849</v>
      </c>
      <c r="G313" s="5" t="s">
        <v>294</v>
      </c>
      <c r="H313" s="6">
        <v>927</v>
      </c>
      <c r="I313" s="27" t="s">
        <v>920</v>
      </c>
      <c r="J313" s="6" t="s">
        <v>931</v>
      </c>
      <c r="K313" s="39" t="s">
        <v>203</v>
      </c>
      <c r="L313" s="34">
        <v>747603</v>
      </c>
      <c r="O313" s="1" t="s">
        <v>907</v>
      </c>
    </row>
    <row r="314" spans="1:15" x14ac:dyDescent="0.2">
      <c r="A314" s="46">
        <f t="shared" si="11"/>
        <v>1</v>
      </c>
      <c r="B314" s="27">
        <v>1</v>
      </c>
      <c r="E314" s="2" t="s">
        <v>293</v>
      </c>
      <c r="F314" s="75" t="s">
        <v>30</v>
      </c>
      <c r="H314" s="6">
        <v>927</v>
      </c>
      <c r="I314" s="89" t="s">
        <v>920</v>
      </c>
      <c r="J314" s="6" t="s">
        <v>931</v>
      </c>
      <c r="K314" s="39" t="s">
        <v>22</v>
      </c>
      <c r="L314" s="34">
        <v>127008</v>
      </c>
      <c r="O314" s="1" t="s">
        <v>907</v>
      </c>
    </row>
    <row r="315" spans="1:15" x14ac:dyDescent="0.2">
      <c r="A315" s="46">
        <f t="shared" si="11"/>
        <v>2</v>
      </c>
      <c r="B315" s="27">
        <v>1</v>
      </c>
      <c r="C315" s="27">
        <v>1</v>
      </c>
      <c r="E315" s="2" t="s">
        <v>293</v>
      </c>
      <c r="F315" s="75" t="s">
        <v>51</v>
      </c>
      <c r="G315" s="5" t="s">
        <v>294</v>
      </c>
      <c r="H315" s="10">
        <v>927</v>
      </c>
      <c r="I315" s="89" t="s">
        <v>920</v>
      </c>
      <c r="J315" s="6" t="s">
        <v>931</v>
      </c>
      <c r="K315" s="39" t="s">
        <v>22</v>
      </c>
      <c r="L315" s="34">
        <v>127018</v>
      </c>
      <c r="N315" s="1" t="s">
        <v>888</v>
      </c>
      <c r="O315" s="1" t="s">
        <v>907</v>
      </c>
    </row>
    <row r="316" spans="1:15" x14ac:dyDescent="0.2">
      <c r="A316" s="46">
        <f t="shared" si="11"/>
        <v>2</v>
      </c>
      <c r="B316" s="27">
        <v>1</v>
      </c>
      <c r="C316" s="27">
        <v>1</v>
      </c>
      <c r="E316" s="2" t="s">
        <v>293</v>
      </c>
      <c r="F316" s="75" t="s">
        <v>33</v>
      </c>
      <c r="G316" s="5" t="s">
        <v>294</v>
      </c>
      <c r="H316" s="10">
        <v>927</v>
      </c>
      <c r="I316" s="89" t="s">
        <v>920</v>
      </c>
      <c r="J316" s="6" t="s">
        <v>931</v>
      </c>
      <c r="K316" s="39" t="s">
        <v>22</v>
      </c>
      <c r="L316" s="34">
        <v>127010</v>
      </c>
      <c r="N316" s="1" t="s">
        <v>888</v>
      </c>
      <c r="O316" s="1" t="s">
        <v>907</v>
      </c>
    </row>
    <row r="317" spans="1:15" x14ac:dyDescent="0.2">
      <c r="A317" s="46">
        <f t="shared" si="11"/>
        <v>1</v>
      </c>
      <c r="B317" s="27">
        <v>1</v>
      </c>
      <c r="E317" s="2" t="s">
        <v>932</v>
      </c>
      <c r="F317" s="75" t="s">
        <v>57</v>
      </c>
      <c r="G317" s="5" t="s">
        <v>933</v>
      </c>
      <c r="H317" s="6" t="s">
        <v>934</v>
      </c>
      <c r="I317" s="27" t="s">
        <v>920</v>
      </c>
      <c r="J317" s="6" t="s">
        <v>931</v>
      </c>
      <c r="K317" s="39" t="s">
        <v>22</v>
      </c>
      <c r="L317" s="34">
        <v>156414</v>
      </c>
      <c r="O317" s="1" t="s">
        <v>907</v>
      </c>
    </row>
    <row r="318" spans="1:15" x14ac:dyDescent="0.2">
      <c r="A318" s="46">
        <f t="shared" si="11"/>
        <v>2</v>
      </c>
      <c r="B318" s="27">
        <v>1</v>
      </c>
      <c r="C318" s="27">
        <v>1</v>
      </c>
      <c r="E318" s="2" t="s">
        <v>932</v>
      </c>
      <c r="F318" s="75" t="s">
        <v>30</v>
      </c>
      <c r="G318" s="5" t="s">
        <v>933</v>
      </c>
      <c r="H318" s="6" t="s">
        <v>934</v>
      </c>
      <c r="I318" s="27" t="s">
        <v>920</v>
      </c>
      <c r="J318" s="6" t="s">
        <v>931</v>
      </c>
      <c r="K318" s="39" t="s">
        <v>22</v>
      </c>
      <c r="L318" s="34">
        <v>156407</v>
      </c>
      <c r="O318" s="1" t="s">
        <v>907</v>
      </c>
    </row>
    <row r="319" spans="1:15" x14ac:dyDescent="0.2">
      <c r="A319" s="46">
        <f t="shared" si="11"/>
        <v>2</v>
      </c>
      <c r="B319" s="27">
        <v>1</v>
      </c>
      <c r="C319" s="27">
        <v>1</v>
      </c>
      <c r="E319" s="2" t="s">
        <v>295</v>
      </c>
      <c r="F319" s="75" t="s">
        <v>66</v>
      </c>
      <c r="G319" s="5" t="s">
        <v>296</v>
      </c>
      <c r="H319" s="6" t="s">
        <v>297</v>
      </c>
      <c r="K319" s="39" t="s">
        <v>22</v>
      </c>
      <c r="L319" s="34">
        <v>118227</v>
      </c>
      <c r="N319" s="1" t="s">
        <v>891</v>
      </c>
      <c r="O319" s="1" t="s">
        <v>907</v>
      </c>
    </row>
    <row r="320" spans="1:15" x14ac:dyDescent="0.2">
      <c r="A320" s="46">
        <f t="shared" si="11"/>
        <v>1</v>
      </c>
      <c r="B320" s="27">
        <v>1</v>
      </c>
      <c r="E320" s="2" t="s">
        <v>298</v>
      </c>
      <c r="F320" s="75" t="s">
        <v>16</v>
      </c>
      <c r="H320" s="6" t="s">
        <v>299</v>
      </c>
      <c r="K320" s="39" t="s">
        <v>22</v>
      </c>
      <c r="L320" s="34">
        <v>137616</v>
      </c>
      <c r="O320" s="1"/>
    </row>
    <row r="321" spans="1:15" x14ac:dyDescent="0.2">
      <c r="A321" s="46">
        <f t="shared" si="11"/>
        <v>2</v>
      </c>
      <c r="B321" s="27">
        <v>1</v>
      </c>
      <c r="C321" s="27">
        <v>1</v>
      </c>
      <c r="E321" s="2" t="s">
        <v>298</v>
      </c>
      <c r="F321" s="75" t="s">
        <v>33</v>
      </c>
      <c r="H321" s="6" t="s">
        <v>299</v>
      </c>
      <c r="K321" s="39" t="s">
        <v>22</v>
      </c>
      <c r="L321" s="34">
        <v>137604</v>
      </c>
      <c r="O321" s="1" t="s">
        <v>907</v>
      </c>
    </row>
    <row r="322" spans="1:15" x14ac:dyDescent="0.2">
      <c r="A322" s="46">
        <f t="shared" si="11"/>
        <v>1</v>
      </c>
      <c r="B322" s="27">
        <v>1</v>
      </c>
      <c r="E322" s="2" t="s">
        <v>300</v>
      </c>
      <c r="F322" s="75" t="s">
        <v>26</v>
      </c>
      <c r="K322" s="39" t="s">
        <v>31</v>
      </c>
      <c r="L322" s="34">
        <v>560230</v>
      </c>
      <c r="O322" s="1" t="s">
        <v>907</v>
      </c>
    </row>
    <row r="323" spans="1:15" x14ac:dyDescent="0.2">
      <c r="A323" s="46">
        <f t="shared" si="11"/>
        <v>1</v>
      </c>
      <c r="B323" s="27">
        <v>1</v>
      </c>
      <c r="E323" s="2" t="s">
        <v>300</v>
      </c>
      <c r="F323" s="75" t="s">
        <v>27</v>
      </c>
      <c r="H323" s="6" t="s">
        <v>301</v>
      </c>
      <c r="K323" s="39" t="s">
        <v>48</v>
      </c>
      <c r="L323" s="34" t="s">
        <v>303</v>
      </c>
      <c r="O323" s="1" t="s">
        <v>907</v>
      </c>
    </row>
    <row r="324" spans="1:15" x14ac:dyDescent="0.2">
      <c r="A324" s="46">
        <f t="shared" si="11"/>
        <v>2</v>
      </c>
      <c r="B324" s="27">
        <v>1</v>
      </c>
      <c r="C324" s="27">
        <v>1</v>
      </c>
      <c r="E324" s="2" t="s">
        <v>300</v>
      </c>
      <c r="F324" s="75" t="s">
        <v>30</v>
      </c>
      <c r="H324" s="6" t="s">
        <v>301</v>
      </c>
      <c r="K324" s="39" t="s">
        <v>31</v>
      </c>
      <c r="L324" s="34">
        <v>560238</v>
      </c>
      <c r="O324" s="1" t="s">
        <v>907</v>
      </c>
    </row>
    <row r="325" spans="1:15" x14ac:dyDescent="0.2">
      <c r="A325" s="46">
        <f t="shared" si="11"/>
        <v>0</v>
      </c>
      <c r="D325" s="27">
        <v>1</v>
      </c>
      <c r="E325" s="2" t="s">
        <v>300</v>
      </c>
      <c r="F325" s="75" t="s">
        <v>33</v>
      </c>
      <c r="K325" s="39" t="s">
        <v>247</v>
      </c>
      <c r="L325" s="34" t="s">
        <v>302</v>
      </c>
      <c r="O325" s="1" t="s">
        <v>907</v>
      </c>
    </row>
    <row r="326" spans="1:15" x14ac:dyDescent="0.2">
      <c r="A326" s="46">
        <f t="shared" si="11"/>
        <v>1</v>
      </c>
      <c r="B326" s="27">
        <v>1</v>
      </c>
      <c r="E326" s="2" t="s">
        <v>304</v>
      </c>
      <c r="F326" s="75" t="s">
        <v>27</v>
      </c>
      <c r="G326" s="5" t="s">
        <v>791</v>
      </c>
      <c r="H326" s="6" t="s">
        <v>305</v>
      </c>
      <c r="I326" s="27" t="s">
        <v>920</v>
      </c>
      <c r="J326" s="6" t="s">
        <v>931</v>
      </c>
      <c r="K326" s="39" t="s">
        <v>22</v>
      </c>
      <c r="L326" s="34">
        <v>119503</v>
      </c>
      <c r="O326" s="1"/>
    </row>
    <row r="327" spans="1:15" x14ac:dyDescent="0.2">
      <c r="A327" s="46">
        <f t="shared" si="11"/>
        <v>2</v>
      </c>
      <c r="B327" s="27">
        <v>1</v>
      </c>
      <c r="C327" s="27">
        <v>1</v>
      </c>
      <c r="E327" s="2" t="s">
        <v>304</v>
      </c>
      <c r="F327" s="75" t="s">
        <v>33</v>
      </c>
      <c r="H327" s="6" t="s">
        <v>305</v>
      </c>
      <c r="K327" s="39" t="s">
        <v>22</v>
      </c>
      <c r="L327" s="34">
        <v>119505</v>
      </c>
      <c r="O327" s="1" t="s">
        <v>907</v>
      </c>
    </row>
    <row r="328" spans="1:15" x14ac:dyDescent="0.2">
      <c r="A328" s="46">
        <f t="shared" si="11"/>
        <v>2</v>
      </c>
      <c r="B328" s="27">
        <v>1</v>
      </c>
      <c r="C328" s="27">
        <v>1</v>
      </c>
      <c r="E328" s="2" t="s">
        <v>306</v>
      </c>
      <c r="F328" s="7" t="s">
        <v>16</v>
      </c>
      <c r="G328" s="5" t="s">
        <v>307</v>
      </c>
      <c r="H328" s="6" t="s">
        <v>308</v>
      </c>
      <c r="K328" s="39" t="s">
        <v>35</v>
      </c>
      <c r="L328" s="34" t="s">
        <v>309</v>
      </c>
      <c r="O328" s="1" t="s">
        <v>907</v>
      </c>
    </row>
    <row r="329" spans="1:15" x14ac:dyDescent="0.2">
      <c r="A329" s="46">
        <f t="shared" si="11"/>
        <v>1</v>
      </c>
      <c r="B329" s="27">
        <v>1</v>
      </c>
      <c r="E329" s="2" t="s">
        <v>310</v>
      </c>
      <c r="F329" s="75" t="s">
        <v>313</v>
      </c>
      <c r="K329" s="39" t="s">
        <v>48</v>
      </c>
      <c r="L329" s="34" t="s">
        <v>314</v>
      </c>
      <c r="O329" s="1" t="s">
        <v>907</v>
      </c>
    </row>
    <row r="330" spans="1:15" x14ac:dyDescent="0.2">
      <c r="A330" s="46">
        <f t="shared" si="11"/>
        <v>1</v>
      </c>
      <c r="B330" s="27">
        <v>1</v>
      </c>
      <c r="E330" s="2" t="s">
        <v>310</v>
      </c>
      <c r="F330" s="75" t="s">
        <v>42</v>
      </c>
      <c r="K330" s="39" t="s">
        <v>48</v>
      </c>
      <c r="L330" s="34" t="s">
        <v>312</v>
      </c>
      <c r="O330" s="1" t="s">
        <v>907</v>
      </c>
    </row>
    <row r="331" spans="1:15" x14ac:dyDescent="0.2">
      <c r="A331" s="46">
        <f t="shared" si="11"/>
        <v>1</v>
      </c>
      <c r="B331" s="27">
        <v>1</v>
      </c>
      <c r="E331" s="2" t="s">
        <v>310</v>
      </c>
      <c r="F331" s="75" t="s">
        <v>27</v>
      </c>
      <c r="H331" s="6">
        <v>90</v>
      </c>
      <c r="K331" s="39" t="s">
        <v>48</v>
      </c>
      <c r="L331" s="34" t="s">
        <v>311</v>
      </c>
      <c r="O331" s="1" t="s">
        <v>907</v>
      </c>
    </row>
    <row r="332" spans="1:15" x14ac:dyDescent="0.2">
      <c r="A332" s="46">
        <f t="shared" si="11"/>
        <v>1</v>
      </c>
      <c r="B332" s="27">
        <v>1</v>
      </c>
      <c r="E332" s="2" t="s">
        <v>310</v>
      </c>
      <c r="F332" s="75" t="s">
        <v>96</v>
      </c>
      <c r="H332" s="6">
        <v>90</v>
      </c>
      <c r="K332" s="39" t="s">
        <v>22</v>
      </c>
      <c r="L332" s="34">
        <v>102720</v>
      </c>
      <c r="O332" s="1" t="s">
        <v>907</v>
      </c>
    </row>
    <row r="333" spans="1:15" x14ac:dyDescent="0.2">
      <c r="A333" s="46">
        <f t="shared" si="11"/>
        <v>1</v>
      </c>
      <c r="B333" s="27">
        <v>1</v>
      </c>
      <c r="E333" s="25" t="s">
        <v>310</v>
      </c>
      <c r="F333" s="22" t="s">
        <v>33</v>
      </c>
      <c r="G333" s="29" t="s">
        <v>13</v>
      </c>
      <c r="H333" s="20">
        <v>90</v>
      </c>
      <c r="I333" s="85" t="s">
        <v>920</v>
      </c>
      <c r="J333" s="20" t="s">
        <v>923</v>
      </c>
      <c r="K333" s="37" t="s">
        <v>22</v>
      </c>
      <c r="L333" s="32">
        <v>102707</v>
      </c>
      <c r="O333" s="1" t="s">
        <v>907</v>
      </c>
    </row>
    <row r="334" spans="1:15" x14ac:dyDescent="0.2">
      <c r="A334" s="46">
        <f t="shared" si="11"/>
        <v>2</v>
      </c>
      <c r="B334" s="27">
        <v>1</v>
      </c>
      <c r="C334" s="27">
        <v>1</v>
      </c>
      <c r="E334" s="2" t="s">
        <v>315</v>
      </c>
      <c r="F334" s="75" t="s">
        <v>316</v>
      </c>
      <c r="H334" s="6" t="s">
        <v>283</v>
      </c>
      <c r="I334" s="27" t="s">
        <v>920</v>
      </c>
      <c r="J334" s="6" t="s">
        <v>317</v>
      </c>
      <c r="K334" s="39" t="s">
        <v>22</v>
      </c>
      <c r="L334" s="57">
        <v>100322</v>
      </c>
      <c r="O334" s="1" t="s">
        <v>908</v>
      </c>
    </row>
    <row r="335" spans="1:15" x14ac:dyDescent="0.2">
      <c r="A335" s="46">
        <f t="shared" si="11"/>
        <v>1</v>
      </c>
      <c r="B335" s="27">
        <v>1</v>
      </c>
      <c r="D335" s="27">
        <v>1</v>
      </c>
      <c r="E335" s="2" t="s">
        <v>315</v>
      </c>
      <c r="F335" s="75" t="s">
        <v>27</v>
      </c>
      <c r="H335" s="10" t="s">
        <v>283</v>
      </c>
      <c r="I335" s="27" t="s">
        <v>920</v>
      </c>
      <c r="J335" s="6" t="s">
        <v>317</v>
      </c>
      <c r="K335" s="39" t="s">
        <v>22</v>
      </c>
      <c r="L335" s="34">
        <v>100304</v>
      </c>
      <c r="O335" s="1" t="s">
        <v>907</v>
      </c>
    </row>
    <row r="336" spans="1:15" x14ac:dyDescent="0.2">
      <c r="A336" s="46">
        <f t="shared" si="11"/>
        <v>1</v>
      </c>
      <c r="B336" s="27">
        <v>1</v>
      </c>
      <c r="E336" s="2" t="s">
        <v>315</v>
      </c>
      <c r="F336" s="75" t="s">
        <v>30</v>
      </c>
      <c r="H336" s="10" t="s">
        <v>283</v>
      </c>
      <c r="I336" s="27" t="s">
        <v>920</v>
      </c>
      <c r="J336" s="10" t="s">
        <v>1015</v>
      </c>
      <c r="K336" s="39" t="s">
        <v>247</v>
      </c>
      <c r="L336" s="34">
        <v>553062</v>
      </c>
      <c r="O336" s="1" t="s">
        <v>907</v>
      </c>
    </row>
    <row r="337" spans="1:15" x14ac:dyDescent="0.2">
      <c r="A337" s="46">
        <f t="shared" si="11"/>
        <v>1</v>
      </c>
      <c r="B337" s="27">
        <v>1</v>
      </c>
      <c r="E337" s="2" t="s">
        <v>315</v>
      </c>
      <c r="F337" s="75" t="s">
        <v>96</v>
      </c>
      <c r="K337" s="39" t="s">
        <v>25</v>
      </c>
      <c r="O337" s="1" t="s">
        <v>907</v>
      </c>
    </row>
    <row r="338" spans="1:15" x14ac:dyDescent="0.2">
      <c r="A338" s="46">
        <f t="shared" si="11"/>
        <v>1</v>
      </c>
      <c r="B338" s="27">
        <v>1</v>
      </c>
      <c r="E338" s="2" t="s">
        <v>315</v>
      </c>
      <c r="F338" s="75" t="s">
        <v>33</v>
      </c>
      <c r="H338" s="6" t="s">
        <v>283</v>
      </c>
      <c r="I338" s="27" t="s">
        <v>920</v>
      </c>
      <c r="J338" s="6" t="s">
        <v>317</v>
      </c>
      <c r="K338" s="39" t="s">
        <v>22</v>
      </c>
      <c r="L338" s="34">
        <v>100308</v>
      </c>
      <c r="O338" s="1" t="s">
        <v>907</v>
      </c>
    </row>
    <row r="339" spans="1:15" x14ac:dyDescent="0.2">
      <c r="A339" s="46">
        <f t="shared" si="11"/>
        <v>3</v>
      </c>
      <c r="B339" s="27">
        <v>1</v>
      </c>
      <c r="C339" s="27">
        <v>2</v>
      </c>
      <c r="E339" s="2" t="s">
        <v>318</v>
      </c>
      <c r="F339" s="75" t="s">
        <v>24</v>
      </c>
      <c r="K339" s="39" t="s">
        <v>17</v>
      </c>
      <c r="O339" s="1" t="s">
        <v>907</v>
      </c>
    </row>
    <row r="340" spans="1:15" x14ac:dyDescent="0.2">
      <c r="A340" s="46">
        <f t="shared" si="11"/>
        <v>2</v>
      </c>
      <c r="B340" s="27">
        <v>2</v>
      </c>
      <c r="E340" s="2" t="s">
        <v>318</v>
      </c>
      <c r="F340" s="75" t="s">
        <v>26</v>
      </c>
      <c r="K340" s="39" t="s">
        <v>17</v>
      </c>
      <c r="O340" s="1" t="s">
        <v>907</v>
      </c>
    </row>
    <row r="341" spans="1:15" x14ac:dyDescent="0.2">
      <c r="A341" s="46">
        <f t="shared" si="11"/>
        <v>1</v>
      </c>
      <c r="B341" s="27">
        <v>1</v>
      </c>
      <c r="E341" s="2" t="s">
        <v>318</v>
      </c>
      <c r="F341" s="75" t="s">
        <v>113</v>
      </c>
      <c r="K341" s="39" t="s">
        <v>17</v>
      </c>
      <c r="O341" s="1" t="s">
        <v>907</v>
      </c>
    </row>
    <row r="342" spans="1:15" x14ac:dyDescent="0.2">
      <c r="A342" s="46">
        <f t="shared" si="11"/>
        <v>1</v>
      </c>
      <c r="B342" s="27">
        <v>1</v>
      </c>
      <c r="E342" s="2" t="s">
        <v>318</v>
      </c>
      <c r="F342" s="75" t="s">
        <v>139</v>
      </c>
      <c r="G342" s="5" t="s">
        <v>883</v>
      </c>
      <c r="H342" s="6" t="s">
        <v>322</v>
      </c>
      <c r="I342" s="90" t="s">
        <v>920</v>
      </c>
      <c r="J342" s="6" t="s">
        <v>923</v>
      </c>
      <c r="K342" s="39" t="s">
        <v>22</v>
      </c>
      <c r="L342" s="34">
        <v>100532</v>
      </c>
      <c r="O342" s="1" t="s">
        <v>908</v>
      </c>
    </row>
    <row r="343" spans="1:15" x14ac:dyDescent="0.2">
      <c r="A343" s="46">
        <f t="shared" si="11"/>
        <v>1</v>
      </c>
      <c r="B343" s="27">
        <v>1</v>
      </c>
      <c r="E343" s="2" t="s">
        <v>318</v>
      </c>
      <c r="F343" s="75" t="s">
        <v>57</v>
      </c>
      <c r="G343" s="5" t="s">
        <v>883</v>
      </c>
      <c r="H343" s="6" t="s">
        <v>324</v>
      </c>
      <c r="I343" s="90" t="s">
        <v>920</v>
      </c>
      <c r="J343" s="6" t="s">
        <v>923</v>
      </c>
      <c r="K343" s="39" t="s">
        <v>22</v>
      </c>
      <c r="L343" s="34">
        <v>100530</v>
      </c>
      <c r="O343" s="1" t="s">
        <v>908</v>
      </c>
    </row>
    <row r="344" spans="1:15" x14ac:dyDescent="0.2">
      <c r="A344" s="46">
        <f t="shared" si="11"/>
        <v>1</v>
      </c>
      <c r="B344" s="27">
        <v>1</v>
      </c>
      <c r="E344" s="2" t="s">
        <v>318</v>
      </c>
      <c r="F344" s="75" t="s">
        <v>313</v>
      </c>
      <c r="H344" s="6" t="s">
        <v>324</v>
      </c>
      <c r="K344" s="39" t="s">
        <v>22</v>
      </c>
      <c r="L344" s="34">
        <v>100536</v>
      </c>
      <c r="O344" s="1" t="s">
        <v>907</v>
      </c>
    </row>
    <row r="345" spans="1:15" x14ac:dyDescent="0.2">
      <c r="A345" s="46">
        <f t="shared" si="11"/>
        <v>2</v>
      </c>
      <c r="B345" s="27">
        <v>1</v>
      </c>
      <c r="C345" s="27">
        <v>1</v>
      </c>
      <c r="E345" s="2" t="s">
        <v>318</v>
      </c>
      <c r="F345" s="75" t="s">
        <v>42</v>
      </c>
      <c r="K345" s="39" t="s">
        <v>17</v>
      </c>
      <c r="O345" s="1" t="s">
        <v>907</v>
      </c>
    </row>
    <row r="346" spans="1:15" x14ac:dyDescent="0.2">
      <c r="A346" s="46">
        <f t="shared" si="11"/>
        <v>1</v>
      </c>
      <c r="B346" s="27">
        <v>0</v>
      </c>
      <c r="C346" s="27">
        <v>1</v>
      </c>
      <c r="D346" s="27">
        <v>1</v>
      </c>
      <c r="E346" s="2" t="s">
        <v>318</v>
      </c>
      <c r="F346" s="75" t="s">
        <v>111</v>
      </c>
      <c r="H346" s="10" t="s">
        <v>319</v>
      </c>
      <c r="I346" s="89"/>
      <c r="J346" s="10"/>
      <c r="K346" s="39" t="s">
        <v>22</v>
      </c>
      <c r="L346" s="58">
        <v>100413</v>
      </c>
      <c r="N346" s="1" t="s">
        <v>891</v>
      </c>
      <c r="O346" s="1" t="s">
        <v>907</v>
      </c>
    </row>
    <row r="347" spans="1:15" x14ac:dyDescent="0.2">
      <c r="A347" s="46">
        <f t="shared" si="11"/>
        <v>1</v>
      </c>
      <c r="B347" s="27">
        <v>1</v>
      </c>
      <c r="E347" s="2" t="s">
        <v>318</v>
      </c>
      <c r="F347" s="75" t="s">
        <v>111</v>
      </c>
      <c r="H347" s="6" t="s">
        <v>324</v>
      </c>
      <c r="K347" s="39" t="s">
        <v>22</v>
      </c>
      <c r="L347" s="34">
        <v>100516</v>
      </c>
      <c r="O347" s="1" t="s">
        <v>907</v>
      </c>
    </row>
    <row r="348" spans="1:15" x14ac:dyDescent="0.2">
      <c r="A348" s="46">
        <f t="shared" si="11"/>
        <v>3</v>
      </c>
      <c r="B348" s="27">
        <v>1</v>
      </c>
      <c r="C348" s="27">
        <v>2</v>
      </c>
      <c r="E348" s="2" t="s">
        <v>318</v>
      </c>
      <c r="F348" s="75" t="s">
        <v>323</v>
      </c>
      <c r="H348" s="10" t="s">
        <v>319</v>
      </c>
      <c r="I348" s="89"/>
      <c r="J348" s="10"/>
      <c r="K348" s="40" t="s">
        <v>22</v>
      </c>
      <c r="L348" s="34">
        <v>100460</v>
      </c>
      <c r="N348" s="1" t="s">
        <v>886</v>
      </c>
      <c r="O348" s="1" t="s">
        <v>907</v>
      </c>
    </row>
    <row r="349" spans="1:15" x14ac:dyDescent="0.2">
      <c r="A349" s="46">
        <f t="shared" si="11"/>
        <v>2</v>
      </c>
      <c r="B349" s="27">
        <v>1</v>
      </c>
      <c r="C349" s="27">
        <v>1</v>
      </c>
      <c r="E349" s="2" t="s">
        <v>318</v>
      </c>
      <c r="F349" s="75" t="s">
        <v>27</v>
      </c>
      <c r="K349" s="39" t="s">
        <v>76</v>
      </c>
      <c r="N349" s="4" t="s">
        <v>897</v>
      </c>
      <c r="O349" s="1" t="s">
        <v>907</v>
      </c>
    </row>
    <row r="350" spans="1:15" x14ac:dyDescent="0.2">
      <c r="A350" s="46">
        <f t="shared" si="11"/>
        <v>1</v>
      </c>
      <c r="B350" s="27">
        <v>1</v>
      </c>
      <c r="E350" s="2" t="s">
        <v>318</v>
      </c>
      <c r="F350" s="75" t="s">
        <v>12</v>
      </c>
      <c r="H350" s="6" t="s">
        <v>319</v>
      </c>
      <c r="K350" s="39" t="s">
        <v>22</v>
      </c>
      <c r="L350" s="34">
        <v>100404</v>
      </c>
      <c r="O350" s="1" t="s">
        <v>907</v>
      </c>
    </row>
    <row r="351" spans="1:15" x14ac:dyDescent="0.2">
      <c r="A351" s="46">
        <f t="shared" si="11"/>
        <v>2</v>
      </c>
      <c r="B351" s="27">
        <v>1</v>
      </c>
      <c r="C351" s="27">
        <v>1</v>
      </c>
      <c r="E351" s="2" t="s">
        <v>318</v>
      </c>
      <c r="F351" s="75" t="s">
        <v>107</v>
      </c>
      <c r="H351" s="6" t="s">
        <v>322</v>
      </c>
      <c r="I351" s="27" t="s">
        <v>920</v>
      </c>
      <c r="K351" s="39" t="s">
        <v>39</v>
      </c>
      <c r="L351" s="34">
        <v>568375</v>
      </c>
      <c r="O351" s="1"/>
    </row>
    <row r="352" spans="1:15" x14ac:dyDescent="0.2">
      <c r="A352" s="46">
        <f t="shared" si="11"/>
        <v>0</v>
      </c>
      <c r="B352" s="1">
        <v>0</v>
      </c>
      <c r="C352" s="1">
        <v>0</v>
      </c>
      <c r="D352" s="1"/>
      <c r="E352" s="2" t="s">
        <v>318</v>
      </c>
      <c r="F352" s="16" t="s">
        <v>107</v>
      </c>
      <c r="G352" s="1"/>
      <c r="H352" s="1" t="s">
        <v>324</v>
      </c>
      <c r="I352" s="1"/>
      <c r="J352" s="1"/>
      <c r="K352" s="1" t="s">
        <v>39</v>
      </c>
      <c r="L352" s="1">
        <v>740209</v>
      </c>
      <c r="O352" s="1" t="s">
        <v>907</v>
      </c>
    </row>
    <row r="353" spans="1:15" x14ac:dyDescent="0.2">
      <c r="A353" s="46">
        <f t="shared" si="11"/>
        <v>2</v>
      </c>
      <c r="B353" s="27">
        <v>1</v>
      </c>
      <c r="C353" s="27">
        <v>1</v>
      </c>
      <c r="E353" s="2" t="s">
        <v>318</v>
      </c>
      <c r="F353" s="75" t="s">
        <v>108</v>
      </c>
      <c r="H353" s="6" t="s">
        <v>324</v>
      </c>
      <c r="I353" s="27" t="s">
        <v>920</v>
      </c>
      <c r="J353" s="116" t="s">
        <v>1136</v>
      </c>
      <c r="K353" s="39" t="s">
        <v>39</v>
      </c>
      <c r="L353" s="34">
        <v>741051</v>
      </c>
      <c r="O353" s="1" t="s">
        <v>907</v>
      </c>
    </row>
    <row r="354" spans="1:15" x14ac:dyDescent="0.2">
      <c r="A354" s="46">
        <f t="shared" si="11"/>
        <v>1</v>
      </c>
      <c r="B354" s="27">
        <v>1</v>
      </c>
      <c r="E354" s="2" t="s">
        <v>318</v>
      </c>
      <c r="F354" s="75" t="s">
        <v>871</v>
      </c>
      <c r="H354" s="6" t="s">
        <v>324</v>
      </c>
      <c r="I354" s="27" t="s">
        <v>1173</v>
      </c>
      <c r="K354" s="39" t="s">
        <v>39</v>
      </c>
      <c r="L354" s="34">
        <v>741462</v>
      </c>
      <c r="O354" s="1"/>
    </row>
    <row r="355" spans="1:15" x14ac:dyDescent="0.2">
      <c r="A355" s="46">
        <f t="shared" si="11"/>
        <v>1</v>
      </c>
      <c r="B355" s="27">
        <v>1</v>
      </c>
      <c r="E355" s="2" t="s">
        <v>318</v>
      </c>
      <c r="F355" s="75" t="s">
        <v>85</v>
      </c>
      <c r="G355" s="5" t="s">
        <v>883</v>
      </c>
      <c r="H355" s="6" t="s">
        <v>322</v>
      </c>
      <c r="I355" s="90" t="s">
        <v>920</v>
      </c>
      <c r="J355" s="6" t="s">
        <v>910</v>
      </c>
      <c r="K355" s="39" t="s">
        <v>22</v>
      </c>
      <c r="L355" s="34">
        <v>100544</v>
      </c>
      <c r="O355" s="1" t="s">
        <v>908</v>
      </c>
    </row>
    <row r="356" spans="1:15" x14ac:dyDescent="0.2">
      <c r="A356" s="46">
        <f t="shared" si="11"/>
        <v>1</v>
      </c>
      <c r="B356" s="27">
        <v>1</v>
      </c>
      <c r="E356" s="2" t="s">
        <v>318</v>
      </c>
      <c r="F356" s="75" t="s">
        <v>116</v>
      </c>
      <c r="G356" s="5" t="s">
        <v>883</v>
      </c>
      <c r="H356" s="6" t="s">
        <v>322</v>
      </c>
      <c r="I356" s="27" t="s">
        <v>920</v>
      </c>
      <c r="J356" s="6" t="s">
        <v>923</v>
      </c>
      <c r="K356" s="39" t="s">
        <v>22</v>
      </c>
      <c r="L356" s="34">
        <v>100559</v>
      </c>
      <c r="O356" s="1" t="s">
        <v>908</v>
      </c>
    </row>
    <row r="357" spans="1:15" x14ac:dyDescent="0.2">
      <c r="A357" s="46">
        <f t="shared" si="11"/>
        <v>3</v>
      </c>
      <c r="B357" s="27">
        <v>1</v>
      </c>
      <c r="C357" s="27">
        <v>2</v>
      </c>
      <c r="E357" s="2" t="s">
        <v>318</v>
      </c>
      <c r="F357" s="75" t="s">
        <v>321</v>
      </c>
      <c r="H357" s="18" t="s">
        <v>322</v>
      </c>
      <c r="I357" s="95"/>
      <c r="J357" s="18"/>
      <c r="K357" s="39" t="s">
        <v>22</v>
      </c>
      <c r="L357" s="34">
        <v>100541</v>
      </c>
      <c r="M357" s="2" t="s">
        <v>1159</v>
      </c>
      <c r="N357" s="1" t="s">
        <v>886</v>
      </c>
      <c r="O357" s="1" t="s">
        <v>907</v>
      </c>
    </row>
    <row r="358" spans="1:15" x14ac:dyDescent="0.2">
      <c r="A358" s="46">
        <f t="shared" si="11"/>
        <v>1</v>
      </c>
      <c r="B358" s="27">
        <v>1</v>
      </c>
      <c r="E358" s="2" t="s">
        <v>318</v>
      </c>
      <c r="F358" s="75" t="s">
        <v>32</v>
      </c>
      <c r="H358" s="6" t="s">
        <v>324</v>
      </c>
      <c r="K358" s="39" t="s">
        <v>22</v>
      </c>
      <c r="L358" s="34">
        <v>100548</v>
      </c>
      <c r="O358" s="1" t="s">
        <v>907</v>
      </c>
    </row>
    <row r="359" spans="1:15" x14ac:dyDescent="0.2">
      <c r="A359" s="46">
        <f t="shared" si="11"/>
        <v>1</v>
      </c>
      <c r="B359" s="27">
        <v>1</v>
      </c>
      <c r="E359" s="2" t="s">
        <v>318</v>
      </c>
      <c r="F359" s="75" t="s">
        <v>109</v>
      </c>
      <c r="H359" s="6" t="s">
        <v>324</v>
      </c>
      <c r="K359" s="39" t="s">
        <v>22</v>
      </c>
      <c r="L359" s="34">
        <v>100546</v>
      </c>
      <c r="O359" s="1" t="s">
        <v>907</v>
      </c>
    </row>
    <row r="360" spans="1:15" x14ac:dyDescent="0.2">
      <c r="A360" s="46">
        <f t="shared" si="11"/>
        <v>3</v>
      </c>
      <c r="B360" s="27">
        <v>1</v>
      </c>
      <c r="C360" s="27">
        <v>2</v>
      </c>
      <c r="E360" s="2" t="s">
        <v>318</v>
      </c>
      <c r="F360" s="75" t="s">
        <v>115</v>
      </c>
      <c r="H360" s="6" t="s">
        <v>319</v>
      </c>
      <c r="K360" s="39" t="s">
        <v>54</v>
      </c>
      <c r="L360" s="34">
        <v>100453</v>
      </c>
      <c r="O360" s="1" t="s">
        <v>907</v>
      </c>
    </row>
    <row r="361" spans="1:15" x14ac:dyDescent="0.2">
      <c r="A361" s="46">
        <f t="shared" si="11"/>
        <v>1</v>
      </c>
      <c r="B361" s="27">
        <v>1</v>
      </c>
      <c r="E361" s="2" t="s">
        <v>318</v>
      </c>
      <c r="F361" s="75" t="s">
        <v>115</v>
      </c>
      <c r="H361" s="6" t="s">
        <v>322</v>
      </c>
      <c r="K361" s="39" t="s">
        <v>22</v>
      </c>
      <c r="L361" s="34">
        <v>100552</v>
      </c>
      <c r="O361" s="1" t="s">
        <v>907</v>
      </c>
    </row>
    <row r="362" spans="1:15" x14ac:dyDescent="0.2">
      <c r="A362" s="46">
        <f t="shared" si="11"/>
        <v>0</v>
      </c>
      <c r="E362" s="2" t="s">
        <v>318</v>
      </c>
      <c r="F362" s="75" t="s">
        <v>320</v>
      </c>
      <c r="H362" s="10" t="s">
        <v>319</v>
      </c>
      <c r="I362" s="89"/>
      <c r="J362" s="10"/>
      <c r="K362" s="39" t="s">
        <v>22</v>
      </c>
      <c r="L362" s="58">
        <v>100413</v>
      </c>
      <c r="N362" s="1" t="s">
        <v>891</v>
      </c>
      <c r="O362" s="1" t="s">
        <v>907</v>
      </c>
    </row>
    <row r="363" spans="1:15" x14ac:dyDescent="0.2">
      <c r="A363" s="46">
        <f t="shared" ref="A363:A426" si="12">B363+C363</f>
        <v>1</v>
      </c>
      <c r="B363" s="27">
        <v>1</v>
      </c>
      <c r="E363" s="2" t="s">
        <v>318</v>
      </c>
      <c r="F363" s="75" t="s">
        <v>30</v>
      </c>
      <c r="H363" s="6" t="s">
        <v>324</v>
      </c>
      <c r="K363" s="39" t="s">
        <v>22</v>
      </c>
      <c r="L363" s="34">
        <v>100510</v>
      </c>
      <c r="O363" s="1" t="s">
        <v>907</v>
      </c>
    </row>
    <row r="364" spans="1:15" x14ac:dyDescent="0.2">
      <c r="A364" s="46">
        <f t="shared" si="12"/>
        <v>1</v>
      </c>
      <c r="B364" s="27">
        <v>1</v>
      </c>
      <c r="E364" s="2" t="s">
        <v>318</v>
      </c>
      <c r="F364" s="75" t="s">
        <v>96</v>
      </c>
      <c r="K364" s="39" t="s">
        <v>17</v>
      </c>
      <c r="O364" s="1" t="s">
        <v>907</v>
      </c>
    </row>
    <row r="365" spans="1:15" x14ac:dyDescent="0.2">
      <c r="A365" s="46">
        <f t="shared" si="12"/>
        <v>1</v>
      </c>
      <c r="B365" s="27">
        <v>1</v>
      </c>
      <c r="E365" s="2" t="s">
        <v>318</v>
      </c>
      <c r="F365" s="75" t="s">
        <v>33</v>
      </c>
      <c r="H365" s="6" t="s">
        <v>319</v>
      </c>
      <c r="K365" s="39" t="s">
        <v>39</v>
      </c>
      <c r="L365" s="34">
        <v>553730</v>
      </c>
      <c r="O365" s="1" t="s">
        <v>907</v>
      </c>
    </row>
    <row r="366" spans="1:15" x14ac:dyDescent="0.2">
      <c r="A366" s="46">
        <f t="shared" si="12"/>
        <v>2</v>
      </c>
      <c r="B366" s="27">
        <v>1</v>
      </c>
      <c r="C366" s="27">
        <v>1</v>
      </c>
      <c r="E366" s="2" t="s">
        <v>318</v>
      </c>
      <c r="F366" s="75" t="s">
        <v>33</v>
      </c>
      <c r="H366" s="6" t="s">
        <v>319</v>
      </c>
      <c r="K366" s="39" t="s">
        <v>22</v>
      </c>
      <c r="L366" s="34">
        <v>100408</v>
      </c>
      <c r="O366" s="1" t="s">
        <v>907</v>
      </c>
    </row>
    <row r="367" spans="1:15" x14ac:dyDescent="0.2">
      <c r="A367" s="46">
        <f t="shared" si="12"/>
        <v>1</v>
      </c>
      <c r="B367" s="27">
        <v>1</v>
      </c>
      <c r="E367" s="2" t="s">
        <v>318</v>
      </c>
      <c r="F367" s="75" t="s">
        <v>33</v>
      </c>
      <c r="H367" s="6" t="s">
        <v>324</v>
      </c>
      <c r="K367" s="39" t="s">
        <v>22</v>
      </c>
      <c r="L367" s="34">
        <v>100512</v>
      </c>
      <c r="O367" s="1" t="s">
        <v>907</v>
      </c>
    </row>
    <row r="368" spans="1:15" x14ac:dyDescent="0.2">
      <c r="A368" s="46">
        <f t="shared" si="12"/>
        <v>3</v>
      </c>
      <c r="B368" s="27">
        <v>1</v>
      </c>
      <c r="C368" s="27">
        <v>2</v>
      </c>
      <c r="E368" s="2" t="s">
        <v>318</v>
      </c>
      <c r="F368" s="75" t="s">
        <v>124</v>
      </c>
      <c r="H368" s="6" t="s">
        <v>319</v>
      </c>
      <c r="K368" s="39" t="s">
        <v>22</v>
      </c>
      <c r="L368" s="34">
        <v>100422</v>
      </c>
      <c r="O368" s="1" t="s">
        <v>907</v>
      </c>
    </row>
    <row r="369" spans="1:15" x14ac:dyDescent="0.2">
      <c r="A369" s="46">
        <f t="shared" si="12"/>
        <v>1</v>
      </c>
      <c r="B369" s="27">
        <v>1</v>
      </c>
      <c r="E369" s="2" t="s">
        <v>318</v>
      </c>
      <c r="F369" s="75" t="s">
        <v>112</v>
      </c>
      <c r="H369" s="6" t="s">
        <v>324</v>
      </c>
      <c r="K369" s="39" t="s">
        <v>22</v>
      </c>
      <c r="L369" s="34">
        <v>100514</v>
      </c>
      <c r="O369" s="1" t="s">
        <v>907</v>
      </c>
    </row>
    <row r="370" spans="1:15" x14ac:dyDescent="0.2">
      <c r="A370" s="46">
        <f t="shared" si="12"/>
        <v>2</v>
      </c>
      <c r="B370" s="27">
        <v>1</v>
      </c>
      <c r="C370" s="27">
        <v>1</v>
      </c>
      <c r="E370" s="2" t="s">
        <v>318</v>
      </c>
      <c r="F370" s="75" t="s">
        <v>70</v>
      </c>
      <c r="H370" s="6" t="s">
        <v>322</v>
      </c>
      <c r="K370" s="39" t="s">
        <v>31</v>
      </c>
      <c r="L370" s="34">
        <v>552775</v>
      </c>
      <c r="O370" s="1" t="s">
        <v>907</v>
      </c>
    </row>
    <row r="371" spans="1:15" x14ac:dyDescent="0.2">
      <c r="A371" s="46">
        <f t="shared" si="12"/>
        <v>1</v>
      </c>
      <c r="B371" s="27">
        <v>1</v>
      </c>
      <c r="E371" s="2" t="s">
        <v>318</v>
      </c>
      <c r="F371" s="75" t="s">
        <v>177</v>
      </c>
      <c r="H371" s="6" t="s">
        <v>322</v>
      </c>
      <c r="K371" s="39" t="s">
        <v>22</v>
      </c>
      <c r="L371" s="34">
        <v>100566</v>
      </c>
      <c r="O371" s="1" t="s">
        <v>907</v>
      </c>
    </row>
    <row r="372" spans="1:15" x14ac:dyDescent="0.2">
      <c r="A372" s="46">
        <f t="shared" si="12"/>
        <v>1</v>
      </c>
      <c r="B372" s="27">
        <v>1</v>
      </c>
      <c r="E372" s="2" t="s">
        <v>318</v>
      </c>
      <c r="F372" s="75" t="s">
        <v>190</v>
      </c>
      <c r="H372" s="6" t="s">
        <v>324</v>
      </c>
      <c r="K372" s="39" t="s">
        <v>22</v>
      </c>
      <c r="L372" s="34">
        <v>100540</v>
      </c>
      <c r="O372" s="1" t="s">
        <v>907</v>
      </c>
    </row>
    <row r="373" spans="1:15" x14ac:dyDescent="0.2">
      <c r="A373" s="46">
        <f t="shared" si="12"/>
        <v>1</v>
      </c>
      <c r="B373" s="27">
        <v>1</v>
      </c>
      <c r="E373" s="2" t="s">
        <v>325</v>
      </c>
      <c r="F373" s="75" t="s">
        <v>24</v>
      </c>
      <c r="K373" s="39" t="s">
        <v>14</v>
      </c>
      <c r="O373" s="1" t="s">
        <v>907</v>
      </c>
    </row>
    <row r="374" spans="1:15" x14ac:dyDescent="0.2">
      <c r="A374" s="46">
        <f t="shared" si="12"/>
        <v>1</v>
      </c>
      <c r="B374" s="27">
        <v>1</v>
      </c>
      <c r="E374" s="2" t="s">
        <v>325</v>
      </c>
      <c r="F374" s="75" t="s">
        <v>586</v>
      </c>
      <c r="H374" s="6" t="s">
        <v>1170</v>
      </c>
      <c r="I374" s="90" t="s">
        <v>920</v>
      </c>
      <c r="J374" s="6" t="s">
        <v>923</v>
      </c>
      <c r="K374" s="39" t="s">
        <v>22</v>
      </c>
      <c r="L374" s="34">
        <v>102802</v>
      </c>
      <c r="O374" s="1"/>
    </row>
    <row r="375" spans="1:15" x14ac:dyDescent="0.2">
      <c r="A375" s="46">
        <f t="shared" si="12"/>
        <v>2</v>
      </c>
      <c r="B375" s="27">
        <v>1</v>
      </c>
      <c r="C375" s="27">
        <v>1</v>
      </c>
      <c r="E375" s="2" t="s">
        <v>326</v>
      </c>
      <c r="F375" s="75" t="s">
        <v>148</v>
      </c>
      <c r="H375" s="6" t="s">
        <v>327</v>
      </c>
      <c r="I375" s="96"/>
      <c r="J375" s="59"/>
      <c r="K375" s="39" t="s">
        <v>22</v>
      </c>
      <c r="L375" s="34">
        <v>133923</v>
      </c>
      <c r="N375" s="1" t="s">
        <v>888</v>
      </c>
      <c r="O375" s="1" t="s">
        <v>907</v>
      </c>
    </row>
    <row r="376" spans="1:15" x14ac:dyDescent="0.2">
      <c r="A376" s="46">
        <f t="shared" si="12"/>
        <v>2</v>
      </c>
      <c r="B376" s="27">
        <v>1</v>
      </c>
      <c r="C376" s="27">
        <v>1</v>
      </c>
      <c r="E376" s="2" t="s">
        <v>326</v>
      </c>
      <c r="F376" s="75" t="s">
        <v>30</v>
      </c>
      <c r="H376" s="6" t="s">
        <v>327</v>
      </c>
      <c r="K376" s="39" t="s">
        <v>22</v>
      </c>
      <c r="L376" s="34">
        <v>133903</v>
      </c>
      <c r="O376" s="1" t="s">
        <v>907</v>
      </c>
    </row>
    <row r="377" spans="1:15" x14ac:dyDescent="0.2">
      <c r="A377" s="46">
        <f t="shared" si="12"/>
        <v>1</v>
      </c>
      <c r="B377" s="27">
        <v>1</v>
      </c>
      <c r="E377" s="2" t="s">
        <v>326</v>
      </c>
      <c r="F377" s="75" t="s">
        <v>978</v>
      </c>
      <c r="G377" s="5" t="s">
        <v>979</v>
      </c>
      <c r="H377" s="6" t="s">
        <v>327</v>
      </c>
      <c r="I377" s="104" t="s">
        <v>920</v>
      </c>
      <c r="J377" s="105" t="s">
        <v>929</v>
      </c>
      <c r="K377" s="39" t="s">
        <v>22</v>
      </c>
      <c r="L377" s="34">
        <v>133939</v>
      </c>
      <c r="O377" s="1" t="s">
        <v>980</v>
      </c>
    </row>
    <row r="378" spans="1:15" x14ac:dyDescent="0.2">
      <c r="A378" s="46">
        <f t="shared" si="12"/>
        <v>1</v>
      </c>
      <c r="B378" s="27">
        <v>1</v>
      </c>
      <c r="E378" s="2" t="s">
        <v>328</v>
      </c>
      <c r="F378" s="75" t="s">
        <v>27</v>
      </c>
      <c r="K378" s="48" t="s">
        <v>247</v>
      </c>
      <c r="L378" s="34" t="s">
        <v>330</v>
      </c>
      <c r="O378" s="1" t="s">
        <v>907</v>
      </c>
    </row>
    <row r="379" spans="1:15" x14ac:dyDescent="0.2">
      <c r="A379" s="46">
        <f t="shared" si="12"/>
        <v>2</v>
      </c>
      <c r="B379" s="27">
        <v>1</v>
      </c>
      <c r="C379" s="27">
        <v>1</v>
      </c>
      <c r="E379" s="2" t="s">
        <v>328</v>
      </c>
      <c r="F379" s="75" t="s">
        <v>33</v>
      </c>
      <c r="H379" s="6" t="s">
        <v>331</v>
      </c>
      <c r="K379" s="39" t="s">
        <v>48</v>
      </c>
      <c r="L379" s="34" t="s">
        <v>332</v>
      </c>
      <c r="O379" s="1" t="s">
        <v>907</v>
      </c>
    </row>
    <row r="380" spans="1:15" x14ac:dyDescent="0.2">
      <c r="A380" s="46">
        <f t="shared" si="12"/>
        <v>1</v>
      </c>
      <c r="B380" s="27">
        <v>1</v>
      </c>
      <c r="E380" s="2" t="s">
        <v>328</v>
      </c>
      <c r="F380" s="75" t="s">
        <v>105</v>
      </c>
      <c r="H380" s="6" t="s">
        <v>329</v>
      </c>
      <c r="K380" s="48" t="s">
        <v>22</v>
      </c>
      <c r="L380" s="34">
        <v>121226</v>
      </c>
      <c r="O380" s="1" t="s">
        <v>907</v>
      </c>
    </row>
    <row r="381" spans="1:15" x14ac:dyDescent="0.2">
      <c r="A381" s="46">
        <f t="shared" si="12"/>
        <v>1</v>
      </c>
      <c r="B381" s="27">
        <v>1</v>
      </c>
      <c r="E381" s="2" t="s">
        <v>333</v>
      </c>
      <c r="F381" s="75" t="s">
        <v>24</v>
      </c>
      <c r="K381" s="39" t="s">
        <v>14</v>
      </c>
      <c r="O381" s="1" t="s">
        <v>907</v>
      </c>
    </row>
    <row r="382" spans="1:15" x14ac:dyDescent="0.2">
      <c r="A382" s="46">
        <f t="shared" si="12"/>
        <v>1</v>
      </c>
      <c r="B382" s="27">
        <v>1</v>
      </c>
      <c r="E382" s="2" t="s">
        <v>333</v>
      </c>
      <c r="F382" s="75" t="s">
        <v>42</v>
      </c>
      <c r="H382" s="6" t="s">
        <v>335</v>
      </c>
      <c r="K382" s="39" t="s">
        <v>31</v>
      </c>
      <c r="L382" s="34">
        <v>559250</v>
      </c>
      <c r="O382" s="1" t="s">
        <v>907</v>
      </c>
    </row>
    <row r="383" spans="1:15" x14ac:dyDescent="0.2">
      <c r="A383" s="46">
        <f t="shared" si="12"/>
        <v>1</v>
      </c>
      <c r="B383" s="27">
        <v>1</v>
      </c>
      <c r="E383" s="2" t="s">
        <v>333</v>
      </c>
      <c r="F383" s="75" t="s">
        <v>42</v>
      </c>
      <c r="H383" s="10"/>
      <c r="I383" s="89"/>
      <c r="J383" s="10"/>
      <c r="K383" s="39" t="s">
        <v>17</v>
      </c>
      <c r="O383" s="1" t="s">
        <v>907</v>
      </c>
    </row>
    <row r="384" spans="1:15" x14ac:dyDescent="0.2">
      <c r="A384" s="46">
        <f t="shared" si="12"/>
        <v>1</v>
      </c>
      <c r="B384" s="27">
        <v>1</v>
      </c>
      <c r="E384" s="2" t="s">
        <v>333</v>
      </c>
      <c r="F384" s="75" t="s">
        <v>111</v>
      </c>
      <c r="H384" s="6" t="s">
        <v>335</v>
      </c>
      <c r="I384" s="27" t="s">
        <v>926</v>
      </c>
      <c r="J384" s="6" t="s">
        <v>1188</v>
      </c>
      <c r="K384" s="39" t="s">
        <v>22</v>
      </c>
      <c r="L384" s="34">
        <v>103028</v>
      </c>
      <c r="M384" t="s">
        <v>1168</v>
      </c>
      <c r="O384" s="1" t="s">
        <v>907</v>
      </c>
    </row>
    <row r="385" spans="1:15" x14ac:dyDescent="0.2">
      <c r="A385" s="46">
        <f t="shared" si="12"/>
        <v>1</v>
      </c>
      <c r="B385" s="27">
        <v>1</v>
      </c>
      <c r="E385" s="2" t="s">
        <v>333</v>
      </c>
      <c r="F385" s="75" t="s">
        <v>27</v>
      </c>
      <c r="G385" s="5" t="s">
        <v>339</v>
      </c>
      <c r="K385" s="39" t="s">
        <v>247</v>
      </c>
      <c r="O385" s="1" t="s">
        <v>907</v>
      </c>
    </row>
    <row r="386" spans="1:15" x14ac:dyDescent="0.2">
      <c r="A386" s="46">
        <f t="shared" si="12"/>
        <v>3</v>
      </c>
      <c r="B386" s="27">
        <v>1</v>
      </c>
      <c r="C386" s="27">
        <v>2</v>
      </c>
      <c r="E386" s="2" t="s">
        <v>333</v>
      </c>
      <c r="F386" s="75" t="s">
        <v>32</v>
      </c>
      <c r="H386" s="6" t="s">
        <v>335</v>
      </c>
      <c r="K386" s="39" t="s">
        <v>22</v>
      </c>
      <c r="L386" s="34">
        <v>103047</v>
      </c>
      <c r="N386" s="1" t="s">
        <v>891</v>
      </c>
      <c r="O386" s="1" t="s">
        <v>907</v>
      </c>
    </row>
    <row r="387" spans="1:15" x14ac:dyDescent="0.2">
      <c r="A387" s="46">
        <f t="shared" si="12"/>
        <v>4</v>
      </c>
      <c r="B387" s="27">
        <v>1</v>
      </c>
      <c r="C387" s="27">
        <v>3</v>
      </c>
      <c r="E387" s="2" t="s">
        <v>333</v>
      </c>
      <c r="F387" s="75" t="s">
        <v>88</v>
      </c>
      <c r="H387" s="18" t="s">
        <v>335</v>
      </c>
      <c r="I387" s="95"/>
      <c r="J387" s="18"/>
      <c r="K387" s="39" t="s">
        <v>22</v>
      </c>
      <c r="L387" s="34">
        <v>103041</v>
      </c>
      <c r="O387" s="1" t="s">
        <v>907</v>
      </c>
    </row>
    <row r="388" spans="1:15" x14ac:dyDescent="0.2">
      <c r="A388" s="46">
        <f t="shared" si="12"/>
        <v>2</v>
      </c>
      <c r="B388" s="27">
        <v>1</v>
      </c>
      <c r="C388" s="27">
        <v>1</v>
      </c>
      <c r="E388" s="2" t="s">
        <v>333</v>
      </c>
      <c r="F388" s="75" t="s">
        <v>88</v>
      </c>
      <c r="H388" s="18" t="s">
        <v>335</v>
      </c>
      <c r="I388" s="95"/>
      <c r="J388" s="18"/>
      <c r="K388" s="39" t="s">
        <v>22</v>
      </c>
      <c r="L388" s="34">
        <v>103059</v>
      </c>
      <c r="O388" s="1" t="s">
        <v>907</v>
      </c>
    </row>
    <row r="389" spans="1:15" x14ac:dyDescent="0.2">
      <c r="A389" s="46">
        <f t="shared" si="12"/>
        <v>1</v>
      </c>
      <c r="B389" s="27">
        <v>1</v>
      </c>
      <c r="E389" s="2" t="s">
        <v>333</v>
      </c>
      <c r="F389" s="75" t="s">
        <v>338</v>
      </c>
      <c r="G389" s="5" t="s">
        <v>339</v>
      </c>
      <c r="K389" s="39" t="s">
        <v>247</v>
      </c>
      <c r="L389" s="34">
        <v>553135</v>
      </c>
      <c r="O389" s="1" t="s">
        <v>907</v>
      </c>
    </row>
    <row r="390" spans="1:15" x14ac:dyDescent="0.2">
      <c r="A390" s="46">
        <f t="shared" si="12"/>
        <v>1</v>
      </c>
      <c r="B390" s="27">
        <v>1</v>
      </c>
      <c r="E390" s="2" t="s">
        <v>333</v>
      </c>
      <c r="F390" s="75" t="s">
        <v>96</v>
      </c>
      <c r="K390" s="39" t="s">
        <v>17</v>
      </c>
      <c r="O390" s="1" t="s">
        <v>907</v>
      </c>
    </row>
    <row r="391" spans="1:15" x14ac:dyDescent="0.2">
      <c r="A391" s="46">
        <f t="shared" si="12"/>
        <v>2</v>
      </c>
      <c r="B391" s="27">
        <v>1</v>
      </c>
      <c r="C391" s="27">
        <v>1</v>
      </c>
      <c r="E391" s="2" t="s">
        <v>333</v>
      </c>
      <c r="F391" s="75" t="s">
        <v>33</v>
      </c>
      <c r="H391" s="6" t="s">
        <v>335</v>
      </c>
      <c r="K391" s="39" t="s">
        <v>48</v>
      </c>
      <c r="L391" s="34" t="s">
        <v>336</v>
      </c>
      <c r="O391" s="1" t="s">
        <v>907</v>
      </c>
    </row>
    <row r="392" spans="1:15" x14ac:dyDescent="0.2">
      <c r="A392" s="46">
        <f t="shared" si="12"/>
        <v>1</v>
      </c>
      <c r="B392" s="27">
        <v>1</v>
      </c>
      <c r="E392" s="2" t="s">
        <v>334</v>
      </c>
      <c r="F392" s="75" t="s">
        <v>124</v>
      </c>
      <c r="H392" s="6" t="s">
        <v>335</v>
      </c>
      <c r="I392" s="96"/>
      <c r="J392" s="59"/>
      <c r="K392" s="39" t="s">
        <v>165</v>
      </c>
      <c r="L392" s="34">
        <v>103030</v>
      </c>
      <c r="O392" s="1" t="s">
        <v>907</v>
      </c>
    </row>
    <row r="393" spans="1:15" x14ac:dyDescent="0.2">
      <c r="A393" s="46">
        <f t="shared" si="12"/>
        <v>2</v>
      </c>
      <c r="B393" s="27">
        <v>1</v>
      </c>
      <c r="C393" s="27">
        <v>1</v>
      </c>
      <c r="E393" s="2" t="s">
        <v>333</v>
      </c>
      <c r="F393" s="75" t="s">
        <v>70</v>
      </c>
      <c r="H393" s="6" t="s">
        <v>335</v>
      </c>
      <c r="K393" s="39" t="s">
        <v>48</v>
      </c>
      <c r="L393" s="34" t="s">
        <v>337</v>
      </c>
      <c r="O393" s="1" t="s">
        <v>907</v>
      </c>
    </row>
    <row r="394" spans="1:15" x14ac:dyDescent="0.2">
      <c r="A394" s="46">
        <f t="shared" si="12"/>
        <v>1</v>
      </c>
      <c r="B394" s="27">
        <v>1</v>
      </c>
      <c r="E394" s="2" t="s">
        <v>340</v>
      </c>
      <c r="F394" s="75" t="s">
        <v>27</v>
      </c>
      <c r="H394" s="6" t="s">
        <v>341</v>
      </c>
      <c r="K394" s="39" t="s">
        <v>20</v>
      </c>
      <c r="O394" s="1" t="s">
        <v>907</v>
      </c>
    </row>
    <row r="395" spans="1:15" x14ac:dyDescent="0.2">
      <c r="A395" s="46">
        <f t="shared" si="12"/>
        <v>1</v>
      </c>
      <c r="B395" s="27">
        <v>1</v>
      </c>
      <c r="E395" s="2" t="s">
        <v>340</v>
      </c>
      <c r="F395" s="75"/>
      <c r="O395" s="1" t="s">
        <v>907</v>
      </c>
    </row>
    <row r="396" spans="1:15" x14ac:dyDescent="0.2">
      <c r="A396" s="46">
        <f t="shared" si="12"/>
        <v>1</v>
      </c>
      <c r="B396" s="27">
        <v>1</v>
      </c>
      <c r="E396" s="2" t="s">
        <v>343</v>
      </c>
      <c r="F396" s="75" t="s">
        <v>57</v>
      </c>
      <c r="G396" s="5" t="s">
        <v>1053</v>
      </c>
      <c r="H396" s="11" t="s">
        <v>344</v>
      </c>
      <c r="I396" s="87" t="s">
        <v>920</v>
      </c>
      <c r="J396" s="11" t="s">
        <v>931</v>
      </c>
      <c r="K396" s="40" t="s">
        <v>22</v>
      </c>
      <c r="L396" s="34">
        <v>103124</v>
      </c>
      <c r="O396" s="1" t="s">
        <v>1126</v>
      </c>
    </row>
    <row r="397" spans="1:15" x14ac:dyDescent="0.2">
      <c r="A397" s="46">
        <f t="shared" si="12"/>
        <v>1</v>
      </c>
      <c r="B397" s="27">
        <v>1</v>
      </c>
      <c r="E397" s="2" t="s">
        <v>343</v>
      </c>
      <c r="F397" s="75" t="s">
        <v>27</v>
      </c>
      <c r="H397" s="11" t="s">
        <v>344</v>
      </c>
      <c r="I397" s="87"/>
      <c r="J397" s="11"/>
      <c r="K397" s="40" t="s">
        <v>247</v>
      </c>
      <c r="L397" s="34" t="s">
        <v>346</v>
      </c>
      <c r="O397" s="1" t="s">
        <v>907</v>
      </c>
    </row>
    <row r="398" spans="1:15" x14ac:dyDescent="0.2">
      <c r="A398" s="46">
        <f t="shared" si="12"/>
        <v>3</v>
      </c>
      <c r="B398" s="27">
        <v>1</v>
      </c>
      <c r="C398" s="27">
        <v>2</v>
      </c>
      <c r="D398" s="27" t="s">
        <v>342</v>
      </c>
      <c r="E398" s="2" t="s">
        <v>343</v>
      </c>
      <c r="F398" s="75" t="s">
        <v>51</v>
      </c>
      <c r="H398" s="11" t="s">
        <v>344</v>
      </c>
      <c r="I398" s="87"/>
      <c r="J398" s="11"/>
      <c r="K398" s="40" t="s">
        <v>345</v>
      </c>
      <c r="L398" s="34">
        <v>103126</v>
      </c>
      <c r="N398" s="1" t="s">
        <v>888</v>
      </c>
      <c r="O398" s="1" t="s">
        <v>907</v>
      </c>
    </row>
    <row r="399" spans="1:15" x14ac:dyDescent="0.2">
      <c r="A399" s="46">
        <f t="shared" si="12"/>
        <v>1</v>
      </c>
      <c r="B399" s="27">
        <v>1</v>
      </c>
      <c r="E399" s="25" t="s">
        <v>343</v>
      </c>
      <c r="F399" s="22" t="s">
        <v>33</v>
      </c>
      <c r="G399" s="29" t="s">
        <v>13</v>
      </c>
      <c r="H399" s="20" t="s">
        <v>1195</v>
      </c>
      <c r="I399" s="85" t="s">
        <v>920</v>
      </c>
      <c r="J399" s="20" t="s">
        <v>931</v>
      </c>
      <c r="K399" s="37" t="s">
        <v>22</v>
      </c>
      <c r="L399" s="32">
        <v>103105</v>
      </c>
      <c r="O399" s="1" t="s">
        <v>907</v>
      </c>
    </row>
    <row r="400" spans="1:15" x14ac:dyDescent="0.2">
      <c r="A400" s="46">
        <f t="shared" si="12"/>
        <v>3</v>
      </c>
      <c r="B400" s="27">
        <v>1</v>
      </c>
      <c r="C400" s="27">
        <v>2</v>
      </c>
      <c r="E400" s="2" t="s">
        <v>343</v>
      </c>
      <c r="F400" s="75" t="s">
        <v>90</v>
      </c>
      <c r="G400" s="5" t="s">
        <v>1053</v>
      </c>
      <c r="H400" s="11" t="s">
        <v>344</v>
      </c>
      <c r="I400" s="87" t="s">
        <v>920</v>
      </c>
      <c r="J400" s="11" t="s">
        <v>931</v>
      </c>
      <c r="K400" s="40" t="s">
        <v>22</v>
      </c>
      <c r="L400" s="34">
        <v>103132</v>
      </c>
      <c r="N400" s="1" t="s">
        <v>887</v>
      </c>
      <c r="O400" s="1" t="s">
        <v>907</v>
      </c>
    </row>
    <row r="401" spans="1:15" x14ac:dyDescent="0.2">
      <c r="A401" s="46">
        <f t="shared" si="12"/>
        <v>1</v>
      </c>
      <c r="B401" s="27">
        <v>1</v>
      </c>
      <c r="E401" s="2" t="s">
        <v>343</v>
      </c>
      <c r="F401" s="75" t="s">
        <v>586</v>
      </c>
      <c r="G401" s="5" t="s">
        <v>1053</v>
      </c>
      <c r="H401" s="11" t="s">
        <v>344</v>
      </c>
      <c r="I401" s="87" t="s">
        <v>920</v>
      </c>
      <c r="J401" s="11" t="s">
        <v>931</v>
      </c>
      <c r="K401" s="40" t="s">
        <v>22</v>
      </c>
      <c r="L401" s="34">
        <v>103101</v>
      </c>
      <c r="O401" s="1" t="s">
        <v>1054</v>
      </c>
    </row>
    <row r="402" spans="1:15" x14ac:dyDescent="0.2">
      <c r="A402" s="46">
        <f t="shared" si="12"/>
        <v>4</v>
      </c>
      <c r="B402" s="27">
        <v>1</v>
      </c>
      <c r="C402" s="27">
        <v>3</v>
      </c>
      <c r="E402" s="2" t="s">
        <v>347</v>
      </c>
      <c r="F402" s="75" t="s">
        <v>24</v>
      </c>
      <c r="K402" s="48" t="s">
        <v>14</v>
      </c>
      <c r="O402" s="1" t="s">
        <v>907</v>
      </c>
    </row>
    <row r="403" spans="1:15" x14ac:dyDescent="0.2">
      <c r="A403" s="46">
        <f t="shared" si="12"/>
        <v>2</v>
      </c>
      <c r="B403" s="27">
        <v>1</v>
      </c>
      <c r="C403" s="27">
        <v>1</v>
      </c>
      <c r="E403" s="2" t="s">
        <v>347</v>
      </c>
      <c r="F403" s="75" t="s">
        <v>42</v>
      </c>
      <c r="K403" s="39" t="s">
        <v>17</v>
      </c>
      <c r="O403" s="1" t="s">
        <v>907</v>
      </c>
    </row>
    <row r="404" spans="1:15" x14ac:dyDescent="0.2">
      <c r="A404" s="46">
        <f t="shared" si="12"/>
        <v>3</v>
      </c>
      <c r="B404" s="27">
        <v>1</v>
      </c>
      <c r="C404" s="27">
        <v>2</v>
      </c>
      <c r="E404" s="2" t="s">
        <v>347</v>
      </c>
      <c r="F404" s="75" t="s">
        <v>27</v>
      </c>
      <c r="K404" s="48" t="s">
        <v>14</v>
      </c>
      <c r="O404" s="1" t="s">
        <v>907</v>
      </c>
    </row>
    <row r="405" spans="1:15" x14ac:dyDescent="0.2">
      <c r="A405" s="46">
        <f t="shared" si="12"/>
        <v>3</v>
      </c>
      <c r="B405" s="27">
        <v>1</v>
      </c>
      <c r="C405" s="27">
        <v>2</v>
      </c>
      <c r="E405" s="2" t="s">
        <v>347</v>
      </c>
      <c r="F405" s="75" t="s">
        <v>66</v>
      </c>
      <c r="H405" s="6" t="s">
        <v>348</v>
      </c>
      <c r="K405" s="39" t="s">
        <v>22</v>
      </c>
      <c r="L405" s="34">
        <v>110738</v>
      </c>
      <c r="O405" s="1" t="s">
        <v>907</v>
      </c>
    </row>
    <row r="406" spans="1:15" x14ac:dyDescent="0.2">
      <c r="A406" s="46">
        <f t="shared" si="12"/>
        <v>2</v>
      </c>
      <c r="B406" s="27">
        <v>1</v>
      </c>
      <c r="C406" s="27">
        <v>1</v>
      </c>
      <c r="E406" s="2" t="s">
        <v>347</v>
      </c>
      <c r="F406" s="75" t="s">
        <v>110</v>
      </c>
      <c r="G406" s="5" t="s">
        <v>1131</v>
      </c>
      <c r="H406" s="6" t="s">
        <v>348</v>
      </c>
      <c r="I406" s="90" t="s">
        <v>920</v>
      </c>
      <c r="J406" s="6" t="s">
        <v>1130</v>
      </c>
      <c r="K406" s="39" t="s">
        <v>22</v>
      </c>
      <c r="L406" s="34">
        <v>110739</v>
      </c>
      <c r="O406" s="1" t="s">
        <v>907</v>
      </c>
    </row>
    <row r="407" spans="1:15" x14ac:dyDescent="0.2">
      <c r="A407" s="46">
        <f t="shared" si="12"/>
        <v>1</v>
      </c>
      <c r="B407" s="27">
        <v>1</v>
      </c>
      <c r="E407" s="2" t="s">
        <v>347</v>
      </c>
      <c r="F407" s="75" t="s">
        <v>30</v>
      </c>
      <c r="H407" s="6" t="s">
        <v>348</v>
      </c>
      <c r="K407" s="39" t="s">
        <v>31</v>
      </c>
      <c r="L407" s="34">
        <v>553775</v>
      </c>
      <c r="O407" s="1" t="s">
        <v>907</v>
      </c>
    </row>
    <row r="408" spans="1:15" x14ac:dyDescent="0.2">
      <c r="A408" s="46">
        <f t="shared" si="12"/>
        <v>1</v>
      </c>
      <c r="B408" s="27">
        <v>1</v>
      </c>
      <c r="E408" s="2" t="s">
        <v>347</v>
      </c>
      <c r="F408" s="75" t="s">
        <v>96</v>
      </c>
      <c r="K408" s="48" t="s">
        <v>14</v>
      </c>
      <c r="O408" s="1" t="s">
        <v>907</v>
      </c>
    </row>
    <row r="409" spans="1:15" x14ac:dyDescent="0.2">
      <c r="A409" s="46">
        <f t="shared" si="12"/>
        <v>0</v>
      </c>
      <c r="B409" s="27">
        <v>0</v>
      </c>
      <c r="E409" s="2" t="s">
        <v>347</v>
      </c>
      <c r="F409" s="75" t="s">
        <v>33</v>
      </c>
      <c r="H409" s="6" t="s">
        <v>348</v>
      </c>
      <c r="K409" s="39" t="s">
        <v>48</v>
      </c>
      <c r="L409" s="34" t="s">
        <v>349</v>
      </c>
      <c r="O409" s="1" t="s">
        <v>907</v>
      </c>
    </row>
    <row r="410" spans="1:15" x14ac:dyDescent="0.2">
      <c r="A410" s="46">
        <f t="shared" si="12"/>
        <v>2</v>
      </c>
      <c r="B410" s="27">
        <v>1</v>
      </c>
      <c r="C410" s="27">
        <v>1</v>
      </c>
      <c r="E410" s="2" t="s">
        <v>347</v>
      </c>
      <c r="F410" s="75" t="s">
        <v>33</v>
      </c>
      <c r="H410" s="6" t="s">
        <v>348</v>
      </c>
      <c r="K410" s="39" t="s">
        <v>22</v>
      </c>
      <c r="L410" s="34">
        <v>110708</v>
      </c>
      <c r="O410" s="1" t="s">
        <v>907</v>
      </c>
    </row>
    <row r="411" spans="1:15" x14ac:dyDescent="0.2">
      <c r="A411" s="46">
        <f t="shared" si="12"/>
        <v>3</v>
      </c>
      <c r="B411" s="27">
        <v>1</v>
      </c>
      <c r="C411" s="27">
        <v>2</v>
      </c>
      <c r="E411" s="14" t="s">
        <v>350</v>
      </c>
      <c r="F411" s="77" t="s">
        <v>24</v>
      </c>
      <c r="G411" s="60"/>
      <c r="H411" s="50"/>
      <c r="I411" s="90"/>
      <c r="J411" s="50"/>
      <c r="K411" s="39" t="s">
        <v>17</v>
      </c>
      <c r="L411" s="61"/>
      <c r="O411" s="1" t="s">
        <v>907</v>
      </c>
    </row>
    <row r="412" spans="1:15" x14ac:dyDescent="0.2">
      <c r="A412" s="46">
        <f t="shared" si="12"/>
        <v>2</v>
      </c>
      <c r="B412" s="27">
        <v>1</v>
      </c>
      <c r="C412" s="27">
        <v>1</v>
      </c>
      <c r="E412" s="2" t="s">
        <v>350</v>
      </c>
      <c r="F412" s="75" t="s">
        <v>26</v>
      </c>
      <c r="K412" s="39" t="s">
        <v>17</v>
      </c>
      <c r="O412" s="1" t="s">
        <v>907</v>
      </c>
    </row>
    <row r="413" spans="1:15" x14ac:dyDescent="0.2">
      <c r="A413" s="46">
        <f t="shared" si="12"/>
        <v>3</v>
      </c>
      <c r="B413" s="27">
        <v>1</v>
      </c>
      <c r="C413" s="27">
        <v>2</v>
      </c>
      <c r="E413" s="2" t="s">
        <v>350</v>
      </c>
      <c r="F413" s="75" t="s">
        <v>313</v>
      </c>
      <c r="G413" s="60" t="s">
        <v>1016</v>
      </c>
      <c r="H413" s="6">
        <v>104</v>
      </c>
      <c r="I413" s="90" t="s">
        <v>920</v>
      </c>
      <c r="J413" s="6" t="s">
        <v>1018</v>
      </c>
      <c r="K413" s="39" t="s">
        <v>22</v>
      </c>
      <c r="L413" s="34">
        <v>109822</v>
      </c>
      <c r="N413" s="1" t="s">
        <v>886</v>
      </c>
      <c r="O413" s="1" t="s">
        <v>907</v>
      </c>
    </row>
    <row r="414" spans="1:15" x14ac:dyDescent="0.2">
      <c r="A414" s="46">
        <f t="shared" si="12"/>
        <v>2</v>
      </c>
      <c r="B414" s="27">
        <v>1</v>
      </c>
      <c r="C414" s="27">
        <v>1</v>
      </c>
      <c r="E414" s="2" t="s">
        <v>350</v>
      </c>
      <c r="F414" s="75" t="s">
        <v>27</v>
      </c>
      <c r="G414" s="60" t="s">
        <v>1016</v>
      </c>
      <c r="H414" s="6">
        <v>104</v>
      </c>
      <c r="I414" s="90" t="s">
        <v>920</v>
      </c>
      <c r="J414" s="6" t="s">
        <v>1018</v>
      </c>
      <c r="K414" s="39" t="s">
        <v>22</v>
      </c>
      <c r="L414" s="34">
        <v>109804</v>
      </c>
      <c r="N414" s="1" t="s">
        <v>885</v>
      </c>
      <c r="O414" s="1" t="s">
        <v>907</v>
      </c>
    </row>
    <row r="415" spans="1:15" x14ac:dyDescent="0.2">
      <c r="A415" s="46">
        <f t="shared" si="12"/>
        <v>3</v>
      </c>
      <c r="B415" s="27">
        <v>1</v>
      </c>
      <c r="C415" s="27">
        <v>2</v>
      </c>
      <c r="E415" s="14" t="s">
        <v>350</v>
      </c>
      <c r="F415" s="77" t="s">
        <v>27</v>
      </c>
      <c r="G415" s="60"/>
      <c r="H415" s="50"/>
      <c r="I415" s="90"/>
      <c r="J415" s="50"/>
      <c r="K415" s="39" t="s">
        <v>17</v>
      </c>
      <c r="L415" s="61"/>
      <c r="O415" s="1" t="s">
        <v>907</v>
      </c>
    </row>
    <row r="416" spans="1:15" ht="17" customHeight="1" x14ac:dyDescent="0.2">
      <c r="A416" s="46">
        <f t="shared" si="12"/>
        <v>1</v>
      </c>
      <c r="B416" s="27">
        <v>1</v>
      </c>
      <c r="E416" s="14" t="s">
        <v>350</v>
      </c>
      <c r="F416" s="77" t="s">
        <v>107</v>
      </c>
      <c r="G416" s="60" t="s">
        <v>1016</v>
      </c>
      <c r="H416" s="50">
        <v>104</v>
      </c>
      <c r="I416" s="90" t="s">
        <v>920</v>
      </c>
      <c r="J416" s="50" t="s">
        <v>1017</v>
      </c>
      <c r="K416" s="39" t="s">
        <v>203</v>
      </c>
      <c r="L416" s="61">
        <v>564616</v>
      </c>
      <c r="O416" s="1" t="s">
        <v>907</v>
      </c>
    </row>
    <row r="417" spans="1:15" ht="17" customHeight="1" x14ac:dyDescent="0.2">
      <c r="A417" s="46">
        <f t="shared" si="12"/>
        <v>2</v>
      </c>
      <c r="B417" s="27">
        <v>1</v>
      </c>
      <c r="C417" s="27">
        <v>1</v>
      </c>
      <c r="E417" s="2" t="s">
        <v>350</v>
      </c>
      <c r="F417" s="75" t="s">
        <v>321</v>
      </c>
      <c r="G417" s="60" t="s">
        <v>1016</v>
      </c>
      <c r="H417" s="18">
        <v>104</v>
      </c>
      <c r="I417" s="90" t="s">
        <v>920</v>
      </c>
      <c r="J417" s="18" t="s">
        <v>1018</v>
      </c>
      <c r="K417" s="39" t="s">
        <v>22</v>
      </c>
      <c r="L417" s="34">
        <v>109833</v>
      </c>
      <c r="O417" s="1" t="s">
        <v>907</v>
      </c>
    </row>
    <row r="418" spans="1:15" ht="17" customHeight="1" x14ac:dyDescent="0.2">
      <c r="A418" s="46">
        <f t="shared" si="12"/>
        <v>3</v>
      </c>
      <c r="B418" s="27">
        <v>1</v>
      </c>
      <c r="C418" s="27">
        <v>2</v>
      </c>
      <c r="E418" s="14" t="s">
        <v>350</v>
      </c>
      <c r="F418" s="77" t="s">
        <v>250</v>
      </c>
      <c r="G418" s="60" t="s">
        <v>1016</v>
      </c>
      <c r="H418" s="6">
        <v>104</v>
      </c>
      <c r="I418" s="90" t="s">
        <v>920</v>
      </c>
      <c r="J418" s="50" t="s">
        <v>1018</v>
      </c>
      <c r="K418" s="62" t="s">
        <v>22</v>
      </c>
      <c r="L418" s="61">
        <v>109836</v>
      </c>
      <c r="N418" s="1" t="s">
        <v>888</v>
      </c>
      <c r="O418" s="1" t="s">
        <v>907</v>
      </c>
    </row>
    <row r="419" spans="1:15" ht="17" customHeight="1" x14ac:dyDescent="0.2">
      <c r="A419" s="46">
        <f t="shared" si="12"/>
        <v>1</v>
      </c>
      <c r="B419" s="27">
        <v>1</v>
      </c>
      <c r="E419" s="14" t="s">
        <v>350</v>
      </c>
      <c r="F419" s="77" t="s">
        <v>110</v>
      </c>
      <c r="G419" s="60"/>
      <c r="H419" s="50"/>
      <c r="I419" s="90"/>
      <c r="J419" s="50"/>
      <c r="K419" s="39" t="s">
        <v>22</v>
      </c>
      <c r="L419" s="61">
        <v>109847</v>
      </c>
      <c r="O419" s="1"/>
    </row>
    <row r="420" spans="1:15" ht="17" customHeight="1" x14ac:dyDescent="0.2">
      <c r="A420" s="46">
        <f t="shared" si="12"/>
        <v>2</v>
      </c>
      <c r="B420" s="27">
        <v>1</v>
      </c>
      <c r="C420" s="27">
        <v>1</v>
      </c>
      <c r="E420" s="2" t="s">
        <v>350</v>
      </c>
      <c r="F420" s="75" t="s">
        <v>115</v>
      </c>
      <c r="G420" s="60" t="s">
        <v>1016</v>
      </c>
      <c r="H420" s="6">
        <v>104</v>
      </c>
      <c r="I420" s="90" t="s">
        <v>920</v>
      </c>
      <c r="J420" s="6" t="s">
        <v>1018</v>
      </c>
      <c r="K420" s="39" t="s">
        <v>22</v>
      </c>
      <c r="L420" s="34">
        <v>109839</v>
      </c>
      <c r="O420" s="1" t="s">
        <v>907</v>
      </c>
    </row>
    <row r="421" spans="1:15" ht="17" customHeight="1" x14ac:dyDescent="0.2">
      <c r="A421" s="46">
        <f t="shared" si="12"/>
        <v>1</v>
      </c>
      <c r="B421" s="27">
        <v>1</v>
      </c>
      <c r="E421" s="14" t="s">
        <v>350</v>
      </c>
      <c r="F421" s="77" t="s">
        <v>586</v>
      </c>
      <c r="G421" s="60" t="s">
        <v>1016</v>
      </c>
      <c r="H421" s="50">
        <v>104</v>
      </c>
      <c r="I421" s="90" t="s">
        <v>920</v>
      </c>
      <c r="J421" s="50" t="s">
        <v>1018</v>
      </c>
      <c r="K421" s="39" t="s">
        <v>22</v>
      </c>
      <c r="L421" s="61">
        <v>109802</v>
      </c>
      <c r="O421" s="1" t="s">
        <v>1076</v>
      </c>
    </row>
    <row r="422" spans="1:15" ht="17" customHeight="1" x14ac:dyDescent="0.2">
      <c r="A422" s="46">
        <f t="shared" si="12"/>
        <v>3</v>
      </c>
      <c r="B422" s="27">
        <v>1</v>
      </c>
      <c r="C422" s="27">
        <v>2</v>
      </c>
      <c r="E422" s="2" t="s">
        <v>351</v>
      </c>
      <c r="F422" s="75" t="s">
        <v>24</v>
      </c>
      <c r="G422" s="5" t="s">
        <v>352</v>
      </c>
      <c r="K422" s="39" t="s">
        <v>20</v>
      </c>
      <c r="O422" s="1" t="s">
        <v>907</v>
      </c>
    </row>
    <row r="423" spans="1:15" ht="17" customHeight="1" x14ac:dyDescent="0.2">
      <c r="A423" s="46">
        <f t="shared" si="12"/>
        <v>1</v>
      </c>
      <c r="B423" s="27">
        <v>1</v>
      </c>
      <c r="E423" s="2" t="s">
        <v>351</v>
      </c>
      <c r="F423" s="75" t="s">
        <v>26</v>
      </c>
      <c r="G423" s="5" t="s">
        <v>352</v>
      </c>
      <c r="K423" s="39" t="s">
        <v>17</v>
      </c>
      <c r="O423" s="1" t="s">
        <v>907</v>
      </c>
    </row>
    <row r="424" spans="1:15" ht="17" customHeight="1" x14ac:dyDescent="0.2">
      <c r="A424" s="46">
        <f t="shared" si="12"/>
        <v>2</v>
      </c>
      <c r="B424" s="27">
        <v>1</v>
      </c>
      <c r="C424" s="27">
        <v>1</v>
      </c>
      <c r="E424" s="2" t="s">
        <v>351</v>
      </c>
      <c r="F424" s="75" t="s">
        <v>113</v>
      </c>
      <c r="G424" s="5" t="s">
        <v>352</v>
      </c>
      <c r="K424" s="39" t="s">
        <v>76</v>
      </c>
      <c r="O424" s="1" t="s">
        <v>907</v>
      </c>
    </row>
    <row r="425" spans="1:15" ht="17" customHeight="1" x14ac:dyDescent="0.2">
      <c r="A425" s="46">
        <f t="shared" si="12"/>
        <v>2</v>
      </c>
      <c r="B425" s="27">
        <v>1</v>
      </c>
      <c r="C425" s="27">
        <v>1</v>
      </c>
      <c r="E425" s="2" t="s">
        <v>351</v>
      </c>
      <c r="F425" s="75" t="s">
        <v>113</v>
      </c>
      <c r="G425" s="5" t="s">
        <v>352</v>
      </c>
      <c r="H425" s="10" t="s">
        <v>353</v>
      </c>
      <c r="I425" s="89" t="s">
        <v>926</v>
      </c>
      <c r="J425" s="10" t="s">
        <v>923</v>
      </c>
      <c r="K425" s="39" t="s">
        <v>22</v>
      </c>
      <c r="L425" s="34">
        <v>103232</v>
      </c>
      <c r="O425" s="1" t="s">
        <v>907</v>
      </c>
    </row>
    <row r="426" spans="1:15" ht="17" customHeight="1" x14ac:dyDescent="0.2">
      <c r="A426" s="46">
        <f t="shared" si="12"/>
        <v>1</v>
      </c>
      <c r="B426" s="27">
        <v>1</v>
      </c>
      <c r="E426" s="2" t="s">
        <v>351</v>
      </c>
      <c r="F426" s="75" t="s">
        <v>139</v>
      </c>
      <c r="G426" s="5" t="s">
        <v>352</v>
      </c>
      <c r="H426" s="10" t="s">
        <v>353</v>
      </c>
      <c r="I426" s="89" t="s">
        <v>926</v>
      </c>
      <c r="J426" s="10" t="s">
        <v>923</v>
      </c>
      <c r="K426" s="39" t="s">
        <v>22</v>
      </c>
      <c r="L426" s="34">
        <v>103228</v>
      </c>
      <c r="O426" s="1" t="s">
        <v>908</v>
      </c>
    </row>
    <row r="427" spans="1:15" ht="17" customHeight="1" x14ac:dyDescent="0.2">
      <c r="A427" s="46">
        <f t="shared" ref="A427:A490" si="13">B427+C427</f>
        <v>1</v>
      </c>
      <c r="B427" s="27">
        <v>1</v>
      </c>
      <c r="E427" s="2" t="s">
        <v>351</v>
      </c>
      <c r="F427" s="75" t="s">
        <v>57</v>
      </c>
      <c r="G427" s="5" t="s">
        <v>352</v>
      </c>
      <c r="H427" s="10" t="s">
        <v>353</v>
      </c>
      <c r="I427" s="89" t="s">
        <v>926</v>
      </c>
      <c r="J427" s="10" t="s">
        <v>923</v>
      </c>
      <c r="K427" s="39" t="s">
        <v>22</v>
      </c>
      <c r="L427" s="34">
        <v>103229</v>
      </c>
      <c r="O427" s="1" t="s">
        <v>908</v>
      </c>
    </row>
    <row r="428" spans="1:15" ht="17" customHeight="1" x14ac:dyDescent="0.2">
      <c r="A428" s="46">
        <f t="shared" si="13"/>
        <v>1</v>
      </c>
      <c r="B428" s="27">
        <v>1</v>
      </c>
      <c r="E428" s="2" t="s">
        <v>351</v>
      </c>
      <c r="F428" s="75" t="s">
        <v>42</v>
      </c>
      <c r="G428" s="5" t="s">
        <v>352</v>
      </c>
      <c r="K428" s="39" t="s">
        <v>17</v>
      </c>
      <c r="O428" s="1" t="s">
        <v>907</v>
      </c>
    </row>
    <row r="429" spans="1:15" ht="17" customHeight="1" x14ac:dyDescent="0.2">
      <c r="A429" s="46">
        <f t="shared" si="13"/>
        <v>4</v>
      </c>
      <c r="B429" s="27">
        <v>1</v>
      </c>
      <c r="C429" s="27">
        <v>3</v>
      </c>
      <c r="E429" s="2" t="s">
        <v>351</v>
      </c>
      <c r="F429" s="75" t="s">
        <v>111</v>
      </c>
      <c r="G429" s="5" t="s">
        <v>352</v>
      </c>
      <c r="H429" s="6" t="s">
        <v>353</v>
      </c>
      <c r="I429" s="89" t="s">
        <v>926</v>
      </c>
      <c r="J429" s="10" t="s">
        <v>923</v>
      </c>
      <c r="K429" s="39" t="s">
        <v>22</v>
      </c>
      <c r="L429" s="34">
        <v>103224</v>
      </c>
      <c r="O429" s="1" t="s">
        <v>907</v>
      </c>
    </row>
    <row r="430" spans="1:15" x14ac:dyDescent="0.2">
      <c r="A430" s="46">
        <f t="shared" si="13"/>
        <v>0</v>
      </c>
      <c r="D430" s="27">
        <v>1</v>
      </c>
      <c r="E430" s="2" t="s">
        <v>351</v>
      </c>
      <c r="F430" s="75" t="s">
        <v>323</v>
      </c>
      <c r="G430" s="5" t="s">
        <v>352</v>
      </c>
      <c r="H430" s="6" t="s">
        <v>353</v>
      </c>
      <c r="I430" s="89" t="s">
        <v>926</v>
      </c>
      <c r="J430" s="10" t="s">
        <v>923</v>
      </c>
      <c r="K430" s="39" t="s">
        <v>22</v>
      </c>
      <c r="L430" s="34">
        <v>103260</v>
      </c>
      <c r="O430" s="1" t="s">
        <v>907</v>
      </c>
    </row>
    <row r="431" spans="1:15" x14ac:dyDescent="0.2">
      <c r="A431" s="46">
        <f t="shared" si="13"/>
        <v>2</v>
      </c>
      <c r="B431" s="27">
        <v>1</v>
      </c>
      <c r="C431" s="27">
        <v>1</v>
      </c>
      <c r="E431" s="2" t="s">
        <v>351</v>
      </c>
      <c r="F431" s="75" t="s">
        <v>360</v>
      </c>
      <c r="G431" s="5" t="s">
        <v>352</v>
      </c>
      <c r="K431" s="39" t="s">
        <v>20</v>
      </c>
      <c r="O431" s="1" t="s">
        <v>907</v>
      </c>
    </row>
    <row r="432" spans="1:15" x14ac:dyDescent="0.2">
      <c r="A432" s="46">
        <f t="shared" si="13"/>
        <v>1</v>
      </c>
      <c r="B432" s="27">
        <v>1</v>
      </c>
      <c r="E432" s="2" t="s">
        <v>351</v>
      </c>
      <c r="F432" s="75" t="s">
        <v>27</v>
      </c>
      <c r="G432" s="5" t="s">
        <v>352</v>
      </c>
      <c r="H432" s="6" t="s">
        <v>353</v>
      </c>
      <c r="I432" s="89" t="s">
        <v>926</v>
      </c>
      <c r="J432" s="10" t="s">
        <v>923</v>
      </c>
      <c r="K432" s="39" t="s">
        <v>22</v>
      </c>
      <c r="L432" s="34">
        <v>103204</v>
      </c>
      <c r="O432" s="1" t="s">
        <v>908</v>
      </c>
    </row>
    <row r="433" spans="1:15" x14ac:dyDescent="0.2">
      <c r="A433" s="46">
        <f t="shared" si="13"/>
        <v>4</v>
      </c>
      <c r="B433" s="27">
        <v>1</v>
      </c>
      <c r="C433" s="27">
        <v>3</v>
      </c>
      <c r="E433" s="2" t="s">
        <v>351</v>
      </c>
      <c r="F433" s="75" t="s">
        <v>873</v>
      </c>
      <c r="G433" s="5" t="s">
        <v>352</v>
      </c>
      <c r="H433" s="10" t="s">
        <v>353</v>
      </c>
      <c r="I433" s="89" t="s">
        <v>920</v>
      </c>
      <c r="J433" s="10" t="s">
        <v>923</v>
      </c>
      <c r="K433" s="39" t="s">
        <v>203</v>
      </c>
      <c r="L433" s="34">
        <v>748868</v>
      </c>
      <c r="M433" t="s">
        <v>966</v>
      </c>
      <c r="O433" s="1" t="s">
        <v>907</v>
      </c>
    </row>
    <row r="434" spans="1:15" x14ac:dyDescent="0.2">
      <c r="A434" s="46">
        <f t="shared" si="13"/>
        <v>2</v>
      </c>
      <c r="B434" s="27">
        <v>1</v>
      </c>
      <c r="C434" s="27">
        <v>1</v>
      </c>
      <c r="E434" s="2" t="s">
        <v>351</v>
      </c>
      <c r="F434" s="75" t="s">
        <v>356</v>
      </c>
      <c r="G434" s="5" t="s">
        <v>352</v>
      </c>
      <c r="H434" s="10" t="s">
        <v>353</v>
      </c>
      <c r="I434" s="89" t="s">
        <v>926</v>
      </c>
      <c r="J434" s="10" t="s">
        <v>923</v>
      </c>
      <c r="K434" s="39" t="s">
        <v>22</v>
      </c>
      <c r="L434" s="34">
        <v>103237</v>
      </c>
      <c r="N434" s="1" t="s">
        <v>889</v>
      </c>
      <c r="O434" s="1" t="s">
        <v>907</v>
      </c>
    </row>
    <row r="435" spans="1:15" x14ac:dyDescent="0.2">
      <c r="A435" s="46">
        <f t="shared" si="13"/>
        <v>0</v>
      </c>
      <c r="E435" s="2" t="s">
        <v>351</v>
      </c>
      <c r="F435" s="75" t="s">
        <v>115</v>
      </c>
      <c r="G435" s="5" t="s">
        <v>352</v>
      </c>
      <c r="K435" s="39" t="s">
        <v>17</v>
      </c>
      <c r="O435" s="1" t="s">
        <v>907</v>
      </c>
    </row>
    <row r="436" spans="1:15" x14ac:dyDescent="0.2">
      <c r="A436" s="46">
        <f t="shared" si="13"/>
        <v>3</v>
      </c>
      <c r="B436" s="27">
        <v>1</v>
      </c>
      <c r="C436" s="27">
        <v>2</v>
      </c>
      <c r="E436" s="2" t="s">
        <v>351</v>
      </c>
      <c r="F436" s="75" t="s">
        <v>115</v>
      </c>
      <c r="G436" s="5" t="s">
        <v>352</v>
      </c>
      <c r="H436" s="6" t="s">
        <v>353</v>
      </c>
      <c r="I436" s="89" t="s">
        <v>926</v>
      </c>
      <c r="J436" s="10" t="s">
        <v>923</v>
      </c>
      <c r="K436" s="39" t="s">
        <v>22</v>
      </c>
      <c r="L436" s="34">
        <v>103246</v>
      </c>
      <c r="N436" s="1" t="s">
        <v>81</v>
      </c>
      <c r="O436" s="1" t="s">
        <v>907</v>
      </c>
    </row>
    <row r="437" spans="1:15" x14ac:dyDescent="0.2">
      <c r="A437" s="46">
        <f t="shared" si="13"/>
        <v>1</v>
      </c>
      <c r="B437" s="27">
        <v>1</v>
      </c>
      <c r="E437" s="2" t="s">
        <v>351</v>
      </c>
      <c r="F437" s="75" t="s">
        <v>338</v>
      </c>
      <c r="G437" s="5" t="s">
        <v>352</v>
      </c>
      <c r="H437" s="6" t="s">
        <v>353</v>
      </c>
      <c r="K437" s="39" t="s">
        <v>31</v>
      </c>
      <c r="L437" s="34" t="s">
        <v>358</v>
      </c>
      <c r="O437" s="1" t="s">
        <v>907</v>
      </c>
    </row>
    <row r="438" spans="1:15" x14ac:dyDescent="0.2">
      <c r="A438" s="46">
        <f t="shared" si="13"/>
        <v>1</v>
      </c>
      <c r="B438" s="27">
        <v>1</v>
      </c>
      <c r="E438" s="2" t="s">
        <v>351</v>
      </c>
      <c r="F438" s="75" t="s">
        <v>338</v>
      </c>
      <c r="G438" s="5" t="s">
        <v>352</v>
      </c>
      <c r="H438" s="6" t="s">
        <v>353</v>
      </c>
      <c r="K438" s="39" t="s">
        <v>31</v>
      </c>
      <c r="L438" s="34">
        <v>553091</v>
      </c>
      <c r="O438" s="1" t="s">
        <v>907</v>
      </c>
    </row>
    <row r="439" spans="1:15" x14ac:dyDescent="0.2">
      <c r="A439" s="46">
        <f t="shared" si="13"/>
        <v>2</v>
      </c>
      <c r="B439" s="27">
        <v>1</v>
      </c>
      <c r="C439" s="27">
        <v>1</v>
      </c>
      <c r="E439" s="2" t="s">
        <v>351</v>
      </c>
      <c r="F439" s="75" t="s">
        <v>354</v>
      </c>
      <c r="G439" s="5" t="s">
        <v>352</v>
      </c>
      <c r="H439" s="11" t="s">
        <v>353</v>
      </c>
      <c r="I439" s="87"/>
      <c r="J439" s="11"/>
      <c r="K439" s="39" t="s">
        <v>48</v>
      </c>
      <c r="L439" s="34" t="s">
        <v>355</v>
      </c>
      <c r="N439" s="1" t="s">
        <v>888</v>
      </c>
      <c r="O439" s="1" t="s">
        <v>907</v>
      </c>
    </row>
    <row r="440" spans="1:15" x14ac:dyDescent="0.2">
      <c r="A440" s="46">
        <f t="shared" si="13"/>
        <v>3</v>
      </c>
      <c r="B440" s="27">
        <v>1</v>
      </c>
      <c r="C440" s="27">
        <v>2</v>
      </c>
      <c r="E440" s="2" t="s">
        <v>351</v>
      </c>
      <c r="F440" s="75" t="s">
        <v>30</v>
      </c>
      <c r="G440" s="5" t="s">
        <v>352</v>
      </c>
      <c r="H440" s="10" t="s">
        <v>353</v>
      </c>
      <c r="I440" s="89" t="s">
        <v>926</v>
      </c>
      <c r="J440" s="10" t="s">
        <v>923</v>
      </c>
      <c r="K440" s="39" t="s">
        <v>22</v>
      </c>
      <c r="L440" s="34">
        <v>103206</v>
      </c>
      <c r="N440" s="1" t="s">
        <v>888</v>
      </c>
      <c r="O440" s="1" t="s">
        <v>907</v>
      </c>
    </row>
    <row r="441" spans="1:15" x14ac:dyDescent="0.2">
      <c r="A441" s="46">
        <f t="shared" si="13"/>
        <v>1</v>
      </c>
      <c r="B441" s="27">
        <v>1</v>
      </c>
      <c r="E441" s="2" t="s">
        <v>351</v>
      </c>
      <c r="F441" s="75" t="s">
        <v>96</v>
      </c>
      <c r="G441" s="5" t="s">
        <v>352</v>
      </c>
      <c r="K441" s="39" t="s">
        <v>17</v>
      </c>
      <c r="O441" s="1" t="s">
        <v>907</v>
      </c>
    </row>
    <row r="442" spans="1:15" x14ac:dyDescent="0.2">
      <c r="A442" s="46">
        <f t="shared" si="13"/>
        <v>4</v>
      </c>
      <c r="B442" s="27">
        <v>1</v>
      </c>
      <c r="C442" s="27">
        <v>3</v>
      </c>
      <c r="E442" s="2" t="s">
        <v>351</v>
      </c>
      <c r="F442" s="75" t="s">
        <v>33</v>
      </c>
      <c r="G442" s="5" t="s">
        <v>352</v>
      </c>
      <c r="H442" s="6" t="s">
        <v>353</v>
      </c>
      <c r="I442" s="89" t="s">
        <v>926</v>
      </c>
      <c r="J442" s="10" t="s">
        <v>923</v>
      </c>
      <c r="K442" s="39" t="s">
        <v>22</v>
      </c>
      <c r="L442" s="34">
        <v>103208</v>
      </c>
      <c r="O442" s="1" t="s">
        <v>907</v>
      </c>
    </row>
    <row r="443" spans="1:15" x14ac:dyDescent="0.2">
      <c r="A443" s="46">
        <f t="shared" si="13"/>
        <v>1</v>
      </c>
      <c r="B443" s="27">
        <v>1</v>
      </c>
      <c r="E443" s="2" t="s">
        <v>351</v>
      </c>
      <c r="F443" s="75" t="s">
        <v>33</v>
      </c>
      <c r="G443" s="5" t="s">
        <v>352</v>
      </c>
      <c r="H443" s="6" t="s">
        <v>353</v>
      </c>
      <c r="I443" s="89" t="s">
        <v>926</v>
      </c>
      <c r="J443" s="10" t="s">
        <v>923</v>
      </c>
      <c r="K443" s="39" t="s">
        <v>22</v>
      </c>
      <c r="L443" s="34">
        <v>103208</v>
      </c>
      <c r="O443" s="1" t="s">
        <v>907</v>
      </c>
    </row>
    <row r="444" spans="1:15" x14ac:dyDescent="0.2">
      <c r="A444" s="46">
        <f t="shared" si="13"/>
        <v>1</v>
      </c>
      <c r="B444" s="27">
        <v>1</v>
      </c>
      <c r="E444" s="2" t="s">
        <v>351</v>
      </c>
      <c r="F444" s="75" t="s">
        <v>359</v>
      </c>
      <c r="G444" s="5" t="s">
        <v>352</v>
      </c>
      <c r="H444" s="6" t="s">
        <v>353</v>
      </c>
      <c r="K444" s="48" t="s">
        <v>31</v>
      </c>
      <c r="L444" s="34">
        <v>551489</v>
      </c>
      <c r="O444" s="1" t="s">
        <v>907</v>
      </c>
    </row>
    <row r="445" spans="1:15" x14ac:dyDescent="0.2">
      <c r="A445" s="46">
        <f t="shared" si="13"/>
        <v>2</v>
      </c>
      <c r="B445" s="27">
        <v>1</v>
      </c>
      <c r="C445" s="27">
        <v>1</v>
      </c>
      <c r="E445" s="2" t="s">
        <v>351</v>
      </c>
      <c r="F445" s="75" t="s">
        <v>70</v>
      </c>
      <c r="G445" s="5" t="s">
        <v>352</v>
      </c>
      <c r="H445" s="6" t="s">
        <v>353</v>
      </c>
      <c r="I445" s="89" t="s">
        <v>926</v>
      </c>
      <c r="J445" s="10" t="s">
        <v>923</v>
      </c>
      <c r="K445" s="39" t="s">
        <v>22</v>
      </c>
      <c r="L445" s="34">
        <v>103222</v>
      </c>
      <c r="O445" s="1" t="s">
        <v>907</v>
      </c>
    </row>
    <row r="446" spans="1:15" x14ac:dyDescent="0.2">
      <c r="A446" s="46">
        <f t="shared" si="13"/>
        <v>3</v>
      </c>
      <c r="B446" s="27">
        <v>1</v>
      </c>
      <c r="C446" s="27">
        <v>2</v>
      </c>
      <c r="E446" s="2" t="s">
        <v>351</v>
      </c>
      <c r="F446" s="75" t="s">
        <v>357</v>
      </c>
      <c r="G446" s="5" t="s">
        <v>352</v>
      </c>
      <c r="H446" s="10" t="s">
        <v>353</v>
      </c>
      <c r="I446" s="89" t="s">
        <v>926</v>
      </c>
      <c r="J446" s="10" t="s">
        <v>923</v>
      </c>
      <c r="K446" s="39" t="s">
        <v>22</v>
      </c>
      <c r="L446" s="34">
        <v>103257</v>
      </c>
      <c r="N446" s="1" t="s">
        <v>885</v>
      </c>
      <c r="O446" s="1" t="s">
        <v>907</v>
      </c>
    </row>
    <row r="447" spans="1:15" x14ac:dyDescent="0.2">
      <c r="A447" s="46">
        <f t="shared" si="13"/>
        <v>2</v>
      </c>
      <c r="B447" s="27">
        <v>1</v>
      </c>
      <c r="C447" s="27">
        <v>1</v>
      </c>
      <c r="E447" s="13" t="s">
        <v>361</v>
      </c>
      <c r="F447" s="77" t="s">
        <v>33</v>
      </c>
      <c r="H447" s="10">
        <v>14.8</v>
      </c>
      <c r="I447" s="89"/>
      <c r="J447" s="10"/>
      <c r="K447" s="40" t="s">
        <v>35</v>
      </c>
      <c r="L447" s="34" t="s">
        <v>362</v>
      </c>
      <c r="M447" t="s">
        <v>904</v>
      </c>
      <c r="N447" s="1" t="s">
        <v>888</v>
      </c>
      <c r="O447" s="1" t="s">
        <v>907</v>
      </c>
    </row>
    <row r="448" spans="1:15" x14ac:dyDescent="0.2">
      <c r="A448" s="46">
        <f t="shared" si="13"/>
        <v>1</v>
      </c>
      <c r="B448" s="27">
        <v>1</v>
      </c>
      <c r="E448" s="2" t="s">
        <v>363</v>
      </c>
      <c r="F448" s="75" t="s">
        <v>33</v>
      </c>
      <c r="H448" s="6" t="s">
        <v>364</v>
      </c>
      <c r="K448" s="39" t="s">
        <v>54</v>
      </c>
      <c r="L448" s="34">
        <v>103307</v>
      </c>
      <c r="O448" s="1" t="s">
        <v>907</v>
      </c>
    </row>
    <row r="449" spans="1:15" x14ac:dyDescent="0.2">
      <c r="A449" s="46">
        <f t="shared" si="13"/>
        <v>1</v>
      </c>
      <c r="B449" s="27">
        <v>1</v>
      </c>
      <c r="E449" s="2" t="s">
        <v>365</v>
      </c>
      <c r="F449" s="75" t="s">
        <v>111</v>
      </c>
      <c r="K449" s="39" t="s">
        <v>22</v>
      </c>
      <c r="L449" s="34">
        <v>103432</v>
      </c>
      <c r="O449" s="1" t="s">
        <v>907</v>
      </c>
    </row>
    <row r="450" spans="1:15" x14ac:dyDescent="0.2">
      <c r="A450" s="46">
        <f t="shared" si="13"/>
        <v>1</v>
      </c>
      <c r="B450" s="27">
        <v>1</v>
      </c>
      <c r="E450" s="2" t="s">
        <v>365</v>
      </c>
      <c r="F450" s="75" t="s">
        <v>32</v>
      </c>
      <c r="H450" s="6" t="s">
        <v>366</v>
      </c>
      <c r="K450" s="39" t="s">
        <v>22</v>
      </c>
      <c r="L450" s="34">
        <v>103441</v>
      </c>
      <c r="O450" s="1" t="s">
        <v>907</v>
      </c>
    </row>
    <row r="451" spans="1:15" x14ac:dyDescent="0.2">
      <c r="A451" s="46">
        <f t="shared" si="13"/>
        <v>1</v>
      </c>
      <c r="B451" s="27">
        <v>1</v>
      </c>
      <c r="E451" s="2" t="s">
        <v>365</v>
      </c>
      <c r="F451" s="75" t="s">
        <v>30</v>
      </c>
      <c r="H451" s="6" t="s">
        <v>366</v>
      </c>
      <c r="K451" s="39" t="s">
        <v>48</v>
      </c>
      <c r="L451" s="34" t="s">
        <v>367</v>
      </c>
      <c r="O451" s="1" t="s">
        <v>907</v>
      </c>
    </row>
    <row r="452" spans="1:15" x14ac:dyDescent="0.2">
      <c r="A452" s="46">
        <f t="shared" si="13"/>
        <v>1</v>
      </c>
      <c r="B452" s="27">
        <v>1</v>
      </c>
      <c r="E452" s="2" t="s">
        <v>368</v>
      </c>
      <c r="F452" s="75" t="s">
        <v>27</v>
      </c>
      <c r="H452" s="6" t="s">
        <v>369</v>
      </c>
      <c r="K452" s="39" t="s">
        <v>22</v>
      </c>
      <c r="L452" s="34">
        <v>108904</v>
      </c>
      <c r="O452" s="1" t="s">
        <v>907</v>
      </c>
    </row>
    <row r="453" spans="1:15" x14ac:dyDescent="0.2">
      <c r="A453" s="46">
        <f t="shared" si="13"/>
        <v>3</v>
      </c>
      <c r="B453" s="27">
        <v>1</v>
      </c>
      <c r="C453" s="27">
        <v>2</v>
      </c>
      <c r="D453" s="27">
        <v>2</v>
      </c>
      <c r="E453" s="2" t="s">
        <v>370</v>
      </c>
      <c r="F453" s="75" t="s">
        <v>42</v>
      </c>
      <c r="H453" s="6" t="s">
        <v>371</v>
      </c>
      <c r="K453" s="39" t="s">
        <v>22</v>
      </c>
      <c r="L453" s="34">
        <v>103814</v>
      </c>
      <c r="N453" s="1" t="s">
        <v>888</v>
      </c>
      <c r="O453" s="1" t="s">
        <v>907</v>
      </c>
    </row>
    <row r="454" spans="1:15" x14ac:dyDescent="0.2">
      <c r="A454" s="46">
        <f t="shared" si="13"/>
        <v>2</v>
      </c>
      <c r="B454" s="27">
        <v>1</v>
      </c>
      <c r="C454" s="27">
        <v>1</v>
      </c>
      <c r="E454" s="2" t="s">
        <v>370</v>
      </c>
      <c r="F454" s="75" t="s">
        <v>33</v>
      </c>
      <c r="H454" s="6" t="s">
        <v>371</v>
      </c>
      <c r="K454" s="39" t="s">
        <v>22</v>
      </c>
      <c r="L454" s="34">
        <v>103805</v>
      </c>
      <c r="N454" s="1" t="s">
        <v>888</v>
      </c>
      <c r="O454" s="1" t="s">
        <v>907</v>
      </c>
    </row>
    <row r="455" spans="1:15" x14ac:dyDescent="0.2">
      <c r="A455" s="46">
        <f t="shared" si="13"/>
        <v>1</v>
      </c>
      <c r="B455" s="27">
        <v>1</v>
      </c>
      <c r="E455" s="2" t="s">
        <v>372</v>
      </c>
      <c r="F455" s="75" t="s">
        <v>139</v>
      </c>
      <c r="G455" s="5" t="s">
        <v>374</v>
      </c>
      <c r="H455" s="6" t="s">
        <v>373</v>
      </c>
      <c r="I455" s="27" t="s">
        <v>920</v>
      </c>
      <c r="J455" s="6" t="s">
        <v>923</v>
      </c>
      <c r="K455" s="39" t="s">
        <v>22</v>
      </c>
      <c r="L455" s="34">
        <v>100612</v>
      </c>
      <c r="O455" s="1" t="s">
        <v>907</v>
      </c>
    </row>
    <row r="456" spans="1:15" x14ac:dyDescent="0.2">
      <c r="A456" s="46">
        <f t="shared" si="13"/>
        <v>1</v>
      </c>
      <c r="B456" s="27">
        <v>1</v>
      </c>
      <c r="E456" s="2" t="s">
        <v>372</v>
      </c>
      <c r="F456" s="75" t="s">
        <v>267</v>
      </c>
      <c r="H456" s="6" t="s">
        <v>373</v>
      </c>
      <c r="I456" s="27" t="s">
        <v>920</v>
      </c>
      <c r="J456" s="20" t="s">
        <v>923</v>
      </c>
      <c r="K456" s="39" t="s">
        <v>22</v>
      </c>
      <c r="L456" s="34">
        <v>100632</v>
      </c>
      <c r="O456" s="1" t="s">
        <v>907</v>
      </c>
    </row>
    <row r="457" spans="1:15" x14ac:dyDescent="0.2">
      <c r="A457" s="46">
        <f t="shared" si="13"/>
        <v>1</v>
      </c>
      <c r="B457" s="27">
        <v>1</v>
      </c>
      <c r="E457" s="2" t="s">
        <v>372</v>
      </c>
      <c r="F457" s="75" t="s">
        <v>313</v>
      </c>
      <c r="G457" s="5" t="s">
        <v>374</v>
      </c>
      <c r="H457" s="6" t="s">
        <v>373</v>
      </c>
      <c r="I457" s="27" t="s">
        <v>920</v>
      </c>
      <c r="J457" s="6" t="s">
        <v>923</v>
      </c>
      <c r="K457" s="39" t="s">
        <v>22</v>
      </c>
      <c r="L457" s="34">
        <v>100636</v>
      </c>
      <c r="O457" s="1" t="s">
        <v>907</v>
      </c>
    </row>
    <row r="458" spans="1:15" x14ac:dyDescent="0.2">
      <c r="A458" s="46">
        <f t="shared" si="13"/>
        <v>1</v>
      </c>
      <c r="B458" s="27">
        <v>1</v>
      </c>
      <c r="E458" s="2" t="s">
        <v>372</v>
      </c>
      <c r="F458" s="75" t="s">
        <v>27</v>
      </c>
      <c r="G458" s="5" t="s">
        <v>374</v>
      </c>
      <c r="H458" s="6" t="s">
        <v>373</v>
      </c>
      <c r="K458" s="39" t="s">
        <v>247</v>
      </c>
      <c r="L458" s="34" t="s">
        <v>375</v>
      </c>
      <c r="O458" s="1" t="s">
        <v>907</v>
      </c>
    </row>
    <row r="459" spans="1:15" x14ac:dyDescent="0.2">
      <c r="A459" s="46">
        <f t="shared" si="13"/>
        <v>4</v>
      </c>
      <c r="B459" s="27">
        <v>1</v>
      </c>
      <c r="C459" s="27">
        <v>3</v>
      </c>
      <c r="E459" s="2" t="s">
        <v>372</v>
      </c>
      <c r="F459" s="75" t="s">
        <v>116</v>
      </c>
      <c r="G459" s="5" t="s">
        <v>374</v>
      </c>
      <c r="H459" s="6" t="s">
        <v>373</v>
      </c>
      <c r="K459" s="39" t="s">
        <v>22</v>
      </c>
      <c r="L459" s="34">
        <v>100627</v>
      </c>
      <c r="O459" s="1" t="s">
        <v>907</v>
      </c>
    </row>
    <row r="460" spans="1:15" x14ac:dyDescent="0.2">
      <c r="A460" s="46">
        <f t="shared" si="13"/>
        <v>3</v>
      </c>
      <c r="B460" s="27">
        <v>1</v>
      </c>
      <c r="C460" s="27">
        <v>2</v>
      </c>
      <c r="E460" s="13" t="s">
        <v>372</v>
      </c>
      <c r="F460" s="77" t="s">
        <v>33</v>
      </c>
      <c r="G460" s="5" t="s">
        <v>374</v>
      </c>
      <c r="H460" s="10" t="s">
        <v>373</v>
      </c>
      <c r="I460" s="85" t="s">
        <v>920</v>
      </c>
      <c r="J460" s="20" t="s">
        <v>923</v>
      </c>
      <c r="K460" s="40" t="s">
        <v>22</v>
      </c>
      <c r="L460" s="34">
        <v>100607</v>
      </c>
      <c r="N460" s="4" t="s">
        <v>890</v>
      </c>
      <c r="O460" s="1" t="s">
        <v>907</v>
      </c>
    </row>
    <row r="461" spans="1:15" x14ac:dyDescent="0.2">
      <c r="A461" s="46">
        <f t="shared" si="13"/>
        <v>2</v>
      </c>
      <c r="B461" s="27">
        <v>1</v>
      </c>
      <c r="C461" s="27">
        <v>1</v>
      </c>
      <c r="E461" s="2" t="s">
        <v>372</v>
      </c>
      <c r="F461" s="75" t="s">
        <v>33</v>
      </c>
      <c r="H461" s="6" t="s">
        <v>373</v>
      </c>
      <c r="K461" s="39" t="s">
        <v>39</v>
      </c>
      <c r="L461" s="34">
        <v>553023</v>
      </c>
      <c r="O461" s="1" t="s">
        <v>907</v>
      </c>
    </row>
    <row r="462" spans="1:15" x14ac:dyDescent="0.2">
      <c r="A462" s="46">
        <f t="shared" si="13"/>
        <v>1</v>
      </c>
      <c r="B462" s="27">
        <v>1</v>
      </c>
      <c r="E462" s="2" t="s">
        <v>376</v>
      </c>
      <c r="F462" s="75" t="s">
        <v>33</v>
      </c>
      <c r="H462" s="6" t="s">
        <v>377</v>
      </c>
      <c r="K462" s="39" t="s">
        <v>22</v>
      </c>
      <c r="L462" s="34">
        <v>131803</v>
      </c>
      <c r="O462" s="1" t="s">
        <v>907</v>
      </c>
    </row>
    <row r="463" spans="1:15" x14ac:dyDescent="0.2">
      <c r="A463" s="46">
        <f t="shared" si="13"/>
        <v>1</v>
      </c>
      <c r="B463" s="27">
        <v>1</v>
      </c>
      <c r="E463" s="2" t="s">
        <v>378</v>
      </c>
      <c r="F463" s="75" t="s">
        <v>70</v>
      </c>
      <c r="H463" s="6" t="s">
        <v>379</v>
      </c>
      <c r="K463" s="39" t="s">
        <v>22</v>
      </c>
      <c r="L463" s="34">
        <v>104318</v>
      </c>
      <c r="O463" s="1" t="s">
        <v>907</v>
      </c>
    </row>
    <row r="464" spans="1:15" x14ac:dyDescent="0.2">
      <c r="A464" s="46">
        <f t="shared" si="13"/>
        <v>1</v>
      </c>
      <c r="B464" s="27">
        <v>1</v>
      </c>
      <c r="E464" s="2" t="s">
        <v>380</v>
      </c>
      <c r="F464" s="75" t="s">
        <v>24</v>
      </c>
      <c r="K464" s="39" t="s">
        <v>14</v>
      </c>
      <c r="O464" s="1" t="s">
        <v>907</v>
      </c>
    </row>
    <row r="465" spans="1:15" x14ac:dyDescent="0.2">
      <c r="A465" s="46">
        <f t="shared" si="13"/>
        <v>1</v>
      </c>
      <c r="B465" s="27">
        <v>1</v>
      </c>
      <c r="E465" s="2" t="s">
        <v>380</v>
      </c>
      <c r="F465" s="75" t="s">
        <v>12</v>
      </c>
      <c r="K465" s="39" t="s">
        <v>17</v>
      </c>
      <c r="O465" s="1" t="s">
        <v>907</v>
      </c>
    </row>
    <row r="466" spans="1:15" x14ac:dyDescent="0.2">
      <c r="A466" s="46">
        <f t="shared" si="13"/>
        <v>1</v>
      </c>
      <c r="B466" s="27">
        <v>1</v>
      </c>
      <c r="E466" s="2" t="s">
        <v>380</v>
      </c>
      <c r="F466" s="75" t="s">
        <v>110</v>
      </c>
      <c r="H466" s="6" t="s">
        <v>382</v>
      </c>
      <c r="K466" s="39" t="s">
        <v>22</v>
      </c>
      <c r="L466" s="34">
        <v>104445</v>
      </c>
      <c r="O466" s="1" t="s">
        <v>907</v>
      </c>
    </row>
    <row r="467" spans="1:15" x14ac:dyDescent="0.2">
      <c r="A467" s="46">
        <f t="shared" si="13"/>
        <v>1</v>
      </c>
      <c r="B467" s="27">
        <v>1</v>
      </c>
      <c r="E467" s="2" t="s">
        <v>380</v>
      </c>
      <c r="F467" s="75" t="s">
        <v>96</v>
      </c>
      <c r="K467" s="39" t="s">
        <v>14</v>
      </c>
      <c r="O467" s="1" t="s">
        <v>907</v>
      </c>
    </row>
    <row r="468" spans="1:15" x14ac:dyDescent="0.2">
      <c r="A468" s="46">
        <f t="shared" si="13"/>
        <v>1</v>
      </c>
      <c r="B468" s="27">
        <v>1</v>
      </c>
      <c r="E468" s="2" t="s">
        <v>380</v>
      </c>
      <c r="F468" s="75" t="s">
        <v>33</v>
      </c>
      <c r="H468" s="6" t="s">
        <v>381</v>
      </c>
      <c r="K468" s="39" t="s">
        <v>39</v>
      </c>
      <c r="L468" s="34">
        <v>553151</v>
      </c>
      <c r="O468" s="1" t="s">
        <v>907</v>
      </c>
    </row>
    <row r="469" spans="1:15" x14ac:dyDescent="0.2">
      <c r="A469" s="46">
        <f t="shared" si="13"/>
        <v>1</v>
      </c>
      <c r="B469" s="27">
        <v>1</v>
      </c>
      <c r="E469" s="2" t="s">
        <v>383</v>
      </c>
      <c r="F469" s="75" t="s">
        <v>57</v>
      </c>
      <c r="H469" s="10" t="s">
        <v>384</v>
      </c>
      <c r="I469" s="89" t="s">
        <v>920</v>
      </c>
      <c r="J469" s="10" t="s">
        <v>919</v>
      </c>
      <c r="K469" s="39" t="s">
        <v>22</v>
      </c>
      <c r="L469" s="34">
        <v>139321</v>
      </c>
      <c r="M469" s="1"/>
      <c r="O469" s="1" t="s">
        <v>907</v>
      </c>
    </row>
    <row r="470" spans="1:15" x14ac:dyDescent="0.2">
      <c r="A470" s="46">
        <f t="shared" si="13"/>
        <v>1</v>
      </c>
      <c r="B470" s="27">
        <v>1</v>
      </c>
      <c r="E470" s="2" t="s">
        <v>383</v>
      </c>
      <c r="F470" s="75" t="s">
        <v>42</v>
      </c>
      <c r="H470" s="10" t="s">
        <v>384</v>
      </c>
      <c r="I470" s="89"/>
      <c r="J470" s="10"/>
      <c r="K470" s="39" t="s">
        <v>22</v>
      </c>
      <c r="L470" s="34">
        <v>139306</v>
      </c>
      <c r="M470" s="1" t="s">
        <v>140</v>
      </c>
      <c r="N470" s="1" t="s">
        <v>889</v>
      </c>
      <c r="O470" s="1" t="s">
        <v>907</v>
      </c>
    </row>
    <row r="471" spans="1:15" x14ac:dyDescent="0.2">
      <c r="A471" s="46">
        <f t="shared" si="13"/>
        <v>1</v>
      </c>
      <c r="B471" s="27">
        <v>1</v>
      </c>
      <c r="E471" s="2" t="s">
        <v>383</v>
      </c>
      <c r="F471" s="75" t="s">
        <v>85</v>
      </c>
      <c r="H471" s="6" t="s">
        <v>384</v>
      </c>
      <c r="K471" s="39" t="s">
        <v>22</v>
      </c>
      <c r="L471" s="34">
        <v>139309</v>
      </c>
      <c r="M471" s="1" t="s">
        <v>140</v>
      </c>
      <c r="O471" s="1" t="s">
        <v>907</v>
      </c>
    </row>
    <row r="472" spans="1:15" x14ac:dyDescent="0.2">
      <c r="A472" s="46">
        <f t="shared" si="13"/>
        <v>1</v>
      </c>
      <c r="B472" s="27">
        <v>1</v>
      </c>
      <c r="E472" s="13" t="s">
        <v>385</v>
      </c>
      <c r="F472" s="77" t="s">
        <v>139</v>
      </c>
      <c r="G472" s="49" t="s">
        <v>921</v>
      </c>
      <c r="H472" s="17" t="s">
        <v>918</v>
      </c>
      <c r="I472" s="91" t="s">
        <v>920</v>
      </c>
      <c r="J472" s="17" t="s">
        <v>919</v>
      </c>
      <c r="K472" s="62" t="s">
        <v>22</v>
      </c>
      <c r="L472" s="51">
        <v>134525</v>
      </c>
      <c r="O472" s="1" t="s">
        <v>907</v>
      </c>
    </row>
    <row r="473" spans="1:15" x14ac:dyDescent="0.2">
      <c r="A473" s="46">
        <f t="shared" si="13"/>
        <v>0</v>
      </c>
      <c r="D473" s="27">
        <v>1</v>
      </c>
      <c r="E473" s="2" t="s">
        <v>385</v>
      </c>
      <c r="F473" s="75" t="s">
        <v>12</v>
      </c>
      <c r="K473" s="39" t="s">
        <v>17</v>
      </c>
      <c r="N473" s="1" t="s">
        <v>891</v>
      </c>
      <c r="O473" s="1" t="s">
        <v>907</v>
      </c>
    </row>
    <row r="474" spans="1:15" x14ac:dyDescent="0.2">
      <c r="A474" s="46">
        <f t="shared" si="13"/>
        <v>2</v>
      </c>
      <c r="B474" s="27">
        <v>1</v>
      </c>
      <c r="C474" s="27">
        <v>1</v>
      </c>
      <c r="E474" s="13" t="s">
        <v>385</v>
      </c>
      <c r="F474" s="77" t="s">
        <v>27</v>
      </c>
      <c r="G474" s="49"/>
      <c r="H474" s="17"/>
      <c r="I474" s="91"/>
      <c r="J474" s="17"/>
      <c r="K474" s="62" t="s">
        <v>35</v>
      </c>
      <c r="L474" s="51" t="s">
        <v>903</v>
      </c>
      <c r="M474" t="s">
        <v>904</v>
      </c>
      <c r="O474" s="1" t="s">
        <v>907</v>
      </c>
    </row>
    <row r="475" spans="1:15" x14ac:dyDescent="0.2">
      <c r="A475" s="46">
        <f t="shared" si="13"/>
        <v>1</v>
      </c>
      <c r="B475" s="27">
        <v>1</v>
      </c>
      <c r="E475" s="2" t="s">
        <v>386</v>
      </c>
      <c r="F475" s="75" t="s">
        <v>27</v>
      </c>
      <c r="K475" s="39" t="s">
        <v>247</v>
      </c>
      <c r="L475" s="34" t="s">
        <v>390</v>
      </c>
      <c r="O475" s="1" t="s">
        <v>907</v>
      </c>
    </row>
    <row r="476" spans="1:15" x14ac:dyDescent="0.2">
      <c r="A476" s="46">
        <f t="shared" si="13"/>
        <v>1</v>
      </c>
      <c r="B476" s="27">
        <v>1</v>
      </c>
      <c r="E476" s="2" t="s">
        <v>386</v>
      </c>
      <c r="F476" s="75" t="s">
        <v>27</v>
      </c>
      <c r="H476" s="6" t="s">
        <v>388</v>
      </c>
      <c r="K476" s="39" t="s">
        <v>31</v>
      </c>
      <c r="L476" s="34">
        <v>553235</v>
      </c>
      <c r="O476" s="1" t="s">
        <v>907</v>
      </c>
    </row>
    <row r="477" spans="1:15" x14ac:dyDescent="0.2">
      <c r="A477" s="46">
        <f t="shared" si="13"/>
        <v>1</v>
      </c>
      <c r="B477" s="27">
        <v>1</v>
      </c>
      <c r="E477" s="2" t="s">
        <v>386</v>
      </c>
      <c r="F477" s="75" t="s">
        <v>33</v>
      </c>
      <c r="H477" s="6" t="s">
        <v>388</v>
      </c>
      <c r="K477" s="39" t="s">
        <v>31</v>
      </c>
      <c r="L477" s="34">
        <v>553237</v>
      </c>
      <c r="O477" s="1" t="s">
        <v>907</v>
      </c>
    </row>
    <row r="478" spans="1:15" x14ac:dyDescent="0.2">
      <c r="A478" s="46">
        <f t="shared" si="13"/>
        <v>3</v>
      </c>
      <c r="B478" s="27">
        <v>1</v>
      </c>
      <c r="C478" s="27">
        <v>2</v>
      </c>
      <c r="E478" s="25" t="s">
        <v>386</v>
      </c>
      <c r="F478" s="22" t="s">
        <v>33</v>
      </c>
      <c r="G478" s="29" t="s">
        <v>13</v>
      </c>
      <c r="H478" s="20" t="s">
        <v>1196</v>
      </c>
      <c r="I478" s="85" t="s">
        <v>920</v>
      </c>
      <c r="J478" s="20" t="s">
        <v>317</v>
      </c>
      <c r="K478" s="37" t="s">
        <v>22</v>
      </c>
      <c r="L478" s="32">
        <v>104507</v>
      </c>
      <c r="O478" s="1" t="s">
        <v>907</v>
      </c>
    </row>
    <row r="479" spans="1:15" x14ac:dyDescent="0.2">
      <c r="A479" s="46">
        <f t="shared" si="13"/>
        <v>3</v>
      </c>
      <c r="B479" s="27">
        <v>1</v>
      </c>
      <c r="C479" s="27">
        <v>2</v>
      </c>
      <c r="E479" s="2" t="s">
        <v>386</v>
      </c>
      <c r="F479" s="76" t="s">
        <v>387</v>
      </c>
      <c r="H479" s="18" t="s">
        <v>388</v>
      </c>
      <c r="I479" s="95"/>
      <c r="J479" s="18"/>
      <c r="K479" s="48" t="s">
        <v>22</v>
      </c>
      <c r="L479" s="55" t="s">
        <v>389</v>
      </c>
      <c r="O479" s="1" t="s">
        <v>907</v>
      </c>
    </row>
    <row r="480" spans="1:15" x14ac:dyDescent="0.2">
      <c r="A480" s="46">
        <f t="shared" si="13"/>
        <v>1</v>
      </c>
      <c r="B480" s="27">
        <v>1</v>
      </c>
      <c r="E480" s="2" t="s">
        <v>391</v>
      </c>
      <c r="F480" s="75" t="s">
        <v>27</v>
      </c>
      <c r="H480" s="6" t="s">
        <v>392</v>
      </c>
      <c r="K480" s="39" t="s">
        <v>39</v>
      </c>
      <c r="L480" s="34">
        <v>555285</v>
      </c>
      <c r="O480" s="1" t="s">
        <v>907</v>
      </c>
    </row>
    <row r="481" spans="1:15" x14ac:dyDescent="0.2">
      <c r="A481" s="46">
        <f t="shared" si="13"/>
        <v>2</v>
      </c>
      <c r="B481" s="27">
        <v>1</v>
      </c>
      <c r="C481" s="27">
        <v>1</v>
      </c>
      <c r="E481" s="2" t="s">
        <v>393</v>
      </c>
      <c r="F481" s="75" t="s">
        <v>27</v>
      </c>
      <c r="H481" s="10" t="s">
        <v>394</v>
      </c>
      <c r="I481" s="89"/>
      <c r="J481" s="10"/>
      <c r="K481" s="39" t="s">
        <v>22</v>
      </c>
      <c r="L481" s="34">
        <v>113803</v>
      </c>
      <c r="N481" s="1" t="s">
        <v>888</v>
      </c>
      <c r="O481" s="1" t="s">
        <v>907</v>
      </c>
    </row>
    <row r="482" spans="1:15" x14ac:dyDescent="0.2">
      <c r="A482" s="46">
        <f t="shared" si="13"/>
        <v>1</v>
      </c>
      <c r="B482" s="27">
        <v>1</v>
      </c>
      <c r="E482" s="2" t="s">
        <v>393</v>
      </c>
      <c r="F482" s="75" t="s">
        <v>190</v>
      </c>
      <c r="H482" s="19" t="s">
        <v>394</v>
      </c>
      <c r="I482" s="88"/>
      <c r="J482" s="19"/>
      <c r="K482" s="39" t="s">
        <v>22</v>
      </c>
      <c r="L482" s="34">
        <v>113816</v>
      </c>
      <c r="O482" s="1" t="s">
        <v>907</v>
      </c>
    </row>
    <row r="483" spans="1:15" x14ac:dyDescent="0.2">
      <c r="A483" s="46">
        <f t="shared" si="13"/>
        <v>1</v>
      </c>
      <c r="B483" s="27">
        <v>1</v>
      </c>
      <c r="E483" s="2" t="s">
        <v>395</v>
      </c>
      <c r="F483" s="75" t="s">
        <v>33</v>
      </c>
      <c r="H483" s="6" t="s">
        <v>396</v>
      </c>
      <c r="K483" s="39" t="s">
        <v>39</v>
      </c>
      <c r="L483" s="34">
        <v>550269</v>
      </c>
      <c r="O483" s="1" t="s">
        <v>907</v>
      </c>
    </row>
    <row r="484" spans="1:15" x14ac:dyDescent="0.2">
      <c r="A484" s="46">
        <f t="shared" si="13"/>
        <v>1</v>
      </c>
      <c r="B484" s="27">
        <v>1</v>
      </c>
      <c r="E484" s="2" t="s">
        <v>397</v>
      </c>
      <c r="F484" s="75" t="s">
        <v>33</v>
      </c>
      <c r="H484" s="6" t="s">
        <v>398</v>
      </c>
      <c r="K484" s="39" t="s">
        <v>54</v>
      </c>
      <c r="L484" s="34">
        <v>127206</v>
      </c>
      <c r="O484" s="1" t="s">
        <v>907</v>
      </c>
    </row>
    <row r="485" spans="1:15" x14ac:dyDescent="0.2">
      <c r="A485" s="46">
        <f t="shared" si="13"/>
        <v>3</v>
      </c>
      <c r="B485" s="27">
        <v>1</v>
      </c>
      <c r="C485" s="27">
        <v>2</v>
      </c>
      <c r="E485" s="2" t="s">
        <v>399</v>
      </c>
      <c r="F485" s="75" t="s">
        <v>24</v>
      </c>
      <c r="K485" s="39" t="s">
        <v>14</v>
      </c>
      <c r="O485" s="1" t="s">
        <v>907</v>
      </c>
    </row>
    <row r="486" spans="1:15" x14ac:dyDescent="0.2">
      <c r="A486" s="46">
        <f t="shared" si="13"/>
        <v>1</v>
      </c>
      <c r="B486" s="27">
        <v>1</v>
      </c>
      <c r="E486" s="2" t="s">
        <v>399</v>
      </c>
      <c r="F486" s="75" t="s">
        <v>113</v>
      </c>
      <c r="H486" s="6" t="s">
        <v>401</v>
      </c>
      <c r="K486" s="39" t="s">
        <v>22</v>
      </c>
      <c r="L486" s="34">
        <v>100730</v>
      </c>
      <c r="O486" s="1" t="s">
        <v>907</v>
      </c>
    </row>
    <row r="487" spans="1:15" x14ac:dyDescent="0.2">
      <c r="A487" s="46">
        <f t="shared" si="13"/>
        <v>3</v>
      </c>
      <c r="B487" s="27">
        <v>1</v>
      </c>
      <c r="C487" s="27">
        <v>2</v>
      </c>
      <c r="E487" s="2" t="s">
        <v>399</v>
      </c>
      <c r="F487" s="75" t="s">
        <v>42</v>
      </c>
      <c r="K487" s="48" t="s">
        <v>14</v>
      </c>
      <c r="O487" s="1" t="s">
        <v>907</v>
      </c>
    </row>
    <row r="488" spans="1:15" x14ac:dyDescent="0.2">
      <c r="A488" s="46">
        <f t="shared" si="13"/>
        <v>2</v>
      </c>
      <c r="B488" s="27">
        <v>1</v>
      </c>
      <c r="C488" s="27">
        <v>1</v>
      </c>
      <c r="E488" s="2" t="s">
        <v>399</v>
      </c>
      <c r="F488" s="75" t="s">
        <v>27</v>
      </c>
      <c r="K488" s="39" t="s">
        <v>76</v>
      </c>
      <c r="N488" s="1" t="s">
        <v>885</v>
      </c>
      <c r="O488" s="1" t="s">
        <v>907</v>
      </c>
    </row>
    <row r="489" spans="1:15" x14ac:dyDescent="0.2">
      <c r="A489" s="46">
        <f t="shared" si="13"/>
        <v>1</v>
      </c>
      <c r="B489" s="27">
        <v>1</v>
      </c>
      <c r="E489" s="2" t="s">
        <v>399</v>
      </c>
      <c r="F489" s="75" t="s">
        <v>85</v>
      </c>
      <c r="H489" s="6" t="s">
        <v>401</v>
      </c>
      <c r="K489" s="39" t="s">
        <v>22</v>
      </c>
      <c r="L489" s="34">
        <v>100738</v>
      </c>
      <c r="O489" s="1" t="s">
        <v>907</v>
      </c>
    </row>
    <row r="490" spans="1:15" x14ac:dyDescent="0.2">
      <c r="A490" s="46">
        <f t="shared" si="13"/>
        <v>1</v>
      </c>
      <c r="B490" s="27">
        <v>1</v>
      </c>
      <c r="E490" s="2" t="s">
        <v>399</v>
      </c>
      <c r="F490" s="75" t="s">
        <v>114</v>
      </c>
      <c r="H490" s="6" t="s">
        <v>401</v>
      </c>
      <c r="K490" s="39" t="s">
        <v>22</v>
      </c>
      <c r="L490" s="34">
        <v>100740</v>
      </c>
      <c r="O490" s="1" t="s">
        <v>907</v>
      </c>
    </row>
    <row r="491" spans="1:15" x14ac:dyDescent="0.2">
      <c r="A491" s="46">
        <f t="shared" ref="A491:A554" si="14">B491+C491</f>
        <v>2</v>
      </c>
      <c r="B491" s="27">
        <v>1</v>
      </c>
      <c r="C491" s="27">
        <v>1</v>
      </c>
      <c r="E491" s="2" t="s">
        <v>399</v>
      </c>
      <c r="F491" s="75" t="s">
        <v>109</v>
      </c>
      <c r="H491" s="6" t="s">
        <v>401</v>
      </c>
      <c r="K491" s="39" t="s">
        <v>22</v>
      </c>
      <c r="L491" s="34">
        <v>100742</v>
      </c>
      <c r="O491" s="1" t="s">
        <v>907</v>
      </c>
    </row>
    <row r="492" spans="1:15" x14ac:dyDescent="0.2">
      <c r="A492" s="46">
        <f t="shared" si="14"/>
        <v>1</v>
      </c>
      <c r="B492" s="27">
        <v>1</v>
      </c>
      <c r="E492" s="2" t="s">
        <v>399</v>
      </c>
      <c r="F492" s="75" t="s">
        <v>115</v>
      </c>
      <c r="H492" s="6" t="s">
        <v>401</v>
      </c>
      <c r="K492" s="39" t="s">
        <v>22</v>
      </c>
      <c r="L492" s="34">
        <v>100750</v>
      </c>
      <c r="O492" s="1" t="s">
        <v>907</v>
      </c>
    </row>
    <row r="493" spans="1:15" x14ac:dyDescent="0.2">
      <c r="A493" s="46">
        <f t="shared" si="14"/>
        <v>1</v>
      </c>
      <c r="B493" s="27">
        <v>1</v>
      </c>
      <c r="E493" s="2" t="s">
        <v>399</v>
      </c>
      <c r="F493" s="75" t="s">
        <v>400</v>
      </c>
      <c r="K493" s="39" t="s">
        <v>17</v>
      </c>
      <c r="O493" s="1" t="s">
        <v>907</v>
      </c>
    </row>
    <row r="494" spans="1:15" x14ac:dyDescent="0.2">
      <c r="A494" s="46">
        <f t="shared" si="14"/>
        <v>1</v>
      </c>
      <c r="B494" s="27">
        <v>1</v>
      </c>
      <c r="E494" s="2" t="s">
        <v>399</v>
      </c>
      <c r="F494" s="75" t="s">
        <v>30</v>
      </c>
      <c r="H494" s="6" t="s">
        <v>401</v>
      </c>
      <c r="K494" s="39" t="s">
        <v>22</v>
      </c>
      <c r="L494" s="34">
        <v>100706</v>
      </c>
      <c r="O494" s="1" t="s">
        <v>907</v>
      </c>
    </row>
    <row r="495" spans="1:15" x14ac:dyDescent="0.2">
      <c r="A495" s="46">
        <f t="shared" si="14"/>
        <v>1</v>
      </c>
      <c r="B495" s="27">
        <v>1</v>
      </c>
      <c r="E495" s="2" t="s">
        <v>399</v>
      </c>
      <c r="F495" s="75" t="s">
        <v>33</v>
      </c>
      <c r="H495" s="6" t="s">
        <v>401</v>
      </c>
      <c r="K495" s="39" t="s">
        <v>22</v>
      </c>
      <c r="L495" s="34">
        <v>100708</v>
      </c>
      <c r="O495" s="1" t="s">
        <v>907</v>
      </c>
    </row>
    <row r="496" spans="1:15" x14ac:dyDescent="0.2">
      <c r="A496" s="46">
        <f t="shared" si="14"/>
        <v>1</v>
      </c>
      <c r="B496" s="27">
        <v>1</v>
      </c>
      <c r="E496" s="2" t="s">
        <v>399</v>
      </c>
      <c r="F496" s="75" t="s">
        <v>402</v>
      </c>
      <c r="H496" s="6" t="s">
        <v>401</v>
      </c>
      <c r="K496" s="39" t="s">
        <v>22</v>
      </c>
      <c r="L496" s="34">
        <v>100710</v>
      </c>
      <c r="O496" s="1" t="s">
        <v>907</v>
      </c>
    </row>
    <row r="497" spans="1:15" x14ac:dyDescent="0.2">
      <c r="A497" s="46">
        <f t="shared" si="14"/>
        <v>1</v>
      </c>
      <c r="B497" s="27">
        <v>1</v>
      </c>
      <c r="E497" s="2" t="s">
        <v>399</v>
      </c>
      <c r="F497" s="75" t="s">
        <v>403</v>
      </c>
      <c r="H497" s="6" t="s">
        <v>401</v>
      </c>
      <c r="K497" s="39" t="s">
        <v>22</v>
      </c>
      <c r="L497" s="34">
        <v>100722</v>
      </c>
      <c r="O497" s="1" t="s">
        <v>907</v>
      </c>
    </row>
    <row r="498" spans="1:15" x14ac:dyDescent="0.2">
      <c r="A498" s="46">
        <f t="shared" si="14"/>
        <v>1</v>
      </c>
      <c r="B498" s="27">
        <v>1</v>
      </c>
      <c r="E498" s="2" t="s">
        <v>399</v>
      </c>
      <c r="F498" s="75" t="s">
        <v>273</v>
      </c>
      <c r="H498" s="6" t="s">
        <v>401</v>
      </c>
      <c r="K498" s="39" t="s">
        <v>22</v>
      </c>
      <c r="L498" s="34">
        <v>100734</v>
      </c>
      <c r="O498" s="1" t="s">
        <v>907</v>
      </c>
    </row>
    <row r="499" spans="1:15" x14ac:dyDescent="0.2">
      <c r="A499" s="46">
        <f t="shared" si="14"/>
        <v>1</v>
      </c>
      <c r="B499" s="27">
        <v>1</v>
      </c>
      <c r="E499" s="2" t="s">
        <v>404</v>
      </c>
      <c r="F499" s="75" t="s">
        <v>30</v>
      </c>
      <c r="H499" s="6" t="s">
        <v>405</v>
      </c>
      <c r="K499" s="39" t="s">
        <v>31</v>
      </c>
      <c r="L499" s="34">
        <v>553768</v>
      </c>
      <c r="O499" s="1" t="s">
        <v>907</v>
      </c>
    </row>
    <row r="500" spans="1:15" x14ac:dyDescent="0.2">
      <c r="A500" s="46">
        <f t="shared" si="14"/>
        <v>1</v>
      </c>
      <c r="B500" s="27">
        <v>1</v>
      </c>
      <c r="E500" s="2" t="s">
        <v>404</v>
      </c>
      <c r="F500" s="75" t="s">
        <v>30</v>
      </c>
      <c r="K500" s="39" t="s">
        <v>247</v>
      </c>
      <c r="L500" s="34" t="s">
        <v>406</v>
      </c>
      <c r="O500" s="1" t="s">
        <v>907</v>
      </c>
    </row>
    <row r="501" spans="1:15" x14ac:dyDescent="0.2">
      <c r="A501" s="46">
        <f t="shared" si="14"/>
        <v>1</v>
      </c>
      <c r="B501" s="27">
        <v>1</v>
      </c>
      <c r="E501" s="2" t="s">
        <v>404</v>
      </c>
      <c r="F501" s="75" t="s">
        <v>33</v>
      </c>
      <c r="H501" s="6" t="s">
        <v>405</v>
      </c>
      <c r="K501" s="39" t="s">
        <v>22</v>
      </c>
      <c r="L501" s="63">
        <v>104707</v>
      </c>
      <c r="M501" s="1" t="s">
        <v>140</v>
      </c>
      <c r="N501" s="1" t="s">
        <v>888</v>
      </c>
      <c r="O501" s="1" t="s">
        <v>907</v>
      </c>
    </row>
    <row r="502" spans="1:15" x14ac:dyDescent="0.2">
      <c r="A502" s="46">
        <f t="shared" si="14"/>
        <v>1</v>
      </c>
      <c r="B502" s="27">
        <v>1</v>
      </c>
      <c r="E502" s="13" t="s">
        <v>407</v>
      </c>
      <c r="F502" s="77" t="s">
        <v>27</v>
      </c>
      <c r="G502" s="49"/>
      <c r="H502" s="17"/>
      <c r="I502" s="91"/>
      <c r="J502" s="17"/>
      <c r="K502" s="62" t="s">
        <v>35</v>
      </c>
      <c r="L502" s="51" t="s">
        <v>902</v>
      </c>
      <c r="M502" t="s">
        <v>95</v>
      </c>
      <c r="N502" s="1" t="s">
        <v>1160</v>
      </c>
      <c r="O502" s="1" t="s">
        <v>907</v>
      </c>
    </row>
    <row r="503" spans="1:15" x14ac:dyDescent="0.2">
      <c r="A503" s="46">
        <f t="shared" si="14"/>
        <v>1</v>
      </c>
      <c r="B503" s="27">
        <v>1</v>
      </c>
      <c r="E503" s="13" t="s">
        <v>407</v>
      </c>
      <c r="F503" s="77" t="s">
        <v>16</v>
      </c>
      <c r="G503" s="49" t="s">
        <v>1200</v>
      </c>
      <c r="H503" s="17" t="s">
        <v>1201</v>
      </c>
      <c r="I503" s="91" t="s">
        <v>1109</v>
      </c>
      <c r="J503" s="17" t="s">
        <v>1015</v>
      </c>
      <c r="K503" s="39" t="s">
        <v>22</v>
      </c>
      <c r="L503" s="51">
        <v>104903</v>
      </c>
      <c r="O503" s="1" t="s">
        <v>907</v>
      </c>
    </row>
    <row r="504" spans="1:15" x14ac:dyDescent="0.2">
      <c r="A504" s="46">
        <f t="shared" si="14"/>
        <v>1</v>
      </c>
      <c r="B504" s="27">
        <v>1</v>
      </c>
      <c r="E504" s="13" t="s">
        <v>407</v>
      </c>
      <c r="F504" s="77" t="s">
        <v>33</v>
      </c>
      <c r="G504" s="49" t="s">
        <v>1200</v>
      </c>
      <c r="H504" s="17" t="s">
        <v>1201</v>
      </c>
      <c r="I504" s="91" t="s">
        <v>1109</v>
      </c>
      <c r="J504" s="17" t="s">
        <v>1015</v>
      </c>
      <c r="K504" s="39" t="s">
        <v>22</v>
      </c>
      <c r="L504" s="51">
        <v>104905</v>
      </c>
      <c r="O504" s="1" t="s">
        <v>907</v>
      </c>
    </row>
    <row r="505" spans="1:15" x14ac:dyDescent="0.2">
      <c r="A505" s="46">
        <f t="shared" si="14"/>
        <v>1</v>
      </c>
      <c r="B505" s="27">
        <v>1</v>
      </c>
      <c r="E505" s="13" t="s">
        <v>407</v>
      </c>
      <c r="F505" s="77" t="s">
        <v>1202</v>
      </c>
      <c r="G505" s="49" t="s">
        <v>1200</v>
      </c>
      <c r="H505" s="17" t="s">
        <v>1201</v>
      </c>
      <c r="I505" s="91" t="s">
        <v>1109</v>
      </c>
      <c r="J505" s="17" t="s">
        <v>1015</v>
      </c>
      <c r="K505" s="39" t="s">
        <v>22</v>
      </c>
      <c r="L505" s="51">
        <v>104914</v>
      </c>
      <c r="O505" s="1" t="s">
        <v>907</v>
      </c>
    </row>
    <row r="506" spans="1:15" x14ac:dyDescent="0.2">
      <c r="A506" s="46">
        <f t="shared" si="14"/>
        <v>1</v>
      </c>
      <c r="B506" s="27">
        <v>1</v>
      </c>
      <c r="E506" s="13" t="s">
        <v>407</v>
      </c>
      <c r="F506" s="77" t="s">
        <v>190</v>
      </c>
      <c r="G506" s="49" t="s">
        <v>1200</v>
      </c>
      <c r="H506" s="17" t="s">
        <v>1201</v>
      </c>
      <c r="I506" s="91" t="s">
        <v>1109</v>
      </c>
      <c r="J506" s="17" t="s">
        <v>1015</v>
      </c>
      <c r="K506" s="39" t="s">
        <v>22</v>
      </c>
      <c r="L506" s="51">
        <v>104911</v>
      </c>
      <c r="O506" s="1" t="s">
        <v>907</v>
      </c>
    </row>
    <row r="507" spans="1:15" x14ac:dyDescent="0.2">
      <c r="A507" s="46">
        <f t="shared" si="14"/>
        <v>0</v>
      </c>
      <c r="D507" s="27">
        <v>1</v>
      </c>
      <c r="E507" s="2" t="s">
        <v>408</v>
      </c>
      <c r="F507" s="75" t="s">
        <v>24</v>
      </c>
      <c r="K507" s="39" t="s">
        <v>17</v>
      </c>
      <c r="O507" s="1" t="s">
        <v>907</v>
      </c>
    </row>
    <row r="508" spans="1:15" x14ac:dyDescent="0.2">
      <c r="A508" s="46">
        <f t="shared" si="14"/>
        <v>2</v>
      </c>
      <c r="B508" s="27">
        <v>1</v>
      </c>
      <c r="C508" s="27">
        <v>1</v>
      </c>
      <c r="E508" s="2" t="s">
        <v>408</v>
      </c>
      <c r="F508" s="75" t="s">
        <v>109</v>
      </c>
      <c r="H508" s="6" t="s">
        <v>409</v>
      </c>
      <c r="K508" s="39" t="s">
        <v>22</v>
      </c>
      <c r="L508" s="34">
        <v>105036</v>
      </c>
      <c r="N508" s="1" t="s">
        <v>889</v>
      </c>
      <c r="O508" s="1" t="s">
        <v>907</v>
      </c>
    </row>
    <row r="509" spans="1:15" x14ac:dyDescent="0.2">
      <c r="A509" s="46">
        <f t="shared" si="14"/>
        <v>1</v>
      </c>
      <c r="B509" s="27">
        <v>1</v>
      </c>
      <c r="E509" s="2" t="s">
        <v>408</v>
      </c>
      <c r="F509" s="75" t="s">
        <v>30</v>
      </c>
      <c r="H509" s="6" t="s">
        <v>409</v>
      </c>
      <c r="K509" s="39" t="s">
        <v>31</v>
      </c>
      <c r="L509" s="34">
        <v>553691</v>
      </c>
      <c r="O509" s="1" t="s">
        <v>907</v>
      </c>
    </row>
    <row r="510" spans="1:15" x14ac:dyDescent="0.2">
      <c r="A510" s="46">
        <f t="shared" si="14"/>
        <v>2</v>
      </c>
      <c r="B510" s="27">
        <v>1</v>
      </c>
      <c r="C510" s="27">
        <v>1</v>
      </c>
      <c r="E510" s="2" t="s">
        <v>408</v>
      </c>
      <c r="F510" s="75" t="s">
        <v>33</v>
      </c>
      <c r="H510" s="6" t="s">
        <v>409</v>
      </c>
      <c r="K510" s="39" t="s">
        <v>22</v>
      </c>
      <c r="L510" s="63">
        <v>105007</v>
      </c>
      <c r="N510" s="1" t="s">
        <v>81</v>
      </c>
      <c r="O510" s="1" t="s">
        <v>907</v>
      </c>
    </row>
    <row r="511" spans="1:15" x14ac:dyDescent="0.2">
      <c r="A511" s="46">
        <f t="shared" si="14"/>
        <v>1</v>
      </c>
      <c r="B511" s="27">
        <v>1</v>
      </c>
      <c r="E511" s="2" t="s">
        <v>408</v>
      </c>
      <c r="F511" s="75" t="s">
        <v>33</v>
      </c>
      <c r="K511" s="39" t="s">
        <v>410</v>
      </c>
      <c r="L511" s="34" t="s">
        <v>411</v>
      </c>
      <c r="O511" s="1" t="s">
        <v>907</v>
      </c>
    </row>
    <row r="512" spans="1:15" x14ac:dyDescent="0.2">
      <c r="A512" s="46">
        <f t="shared" si="14"/>
        <v>0</v>
      </c>
      <c r="D512" s="27">
        <v>1</v>
      </c>
      <c r="E512" s="2" t="s">
        <v>412</v>
      </c>
      <c r="F512" s="75" t="s">
        <v>113</v>
      </c>
      <c r="K512" s="39" t="s">
        <v>17</v>
      </c>
      <c r="O512" s="1" t="s">
        <v>907</v>
      </c>
    </row>
    <row r="513" spans="1:15" x14ac:dyDescent="0.2">
      <c r="A513" s="46">
        <f t="shared" si="14"/>
        <v>1</v>
      </c>
      <c r="C513" s="27">
        <v>1</v>
      </c>
      <c r="E513" s="2" t="s">
        <v>413</v>
      </c>
      <c r="F513" s="75" t="s">
        <v>24</v>
      </c>
      <c r="K513" s="39" t="s">
        <v>14</v>
      </c>
      <c r="O513" s="1" t="s">
        <v>907</v>
      </c>
    </row>
    <row r="514" spans="1:15" x14ac:dyDescent="0.2">
      <c r="A514" s="46">
        <f t="shared" si="14"/>
        <v>1</v>
      </c>
      <c r="B514" s="27">
        <v>1</v>
      </c>
      <c r="E514" s="2" t="s">
        <v>413</v>
      </c>
      <c r="F514" s="75" t="s">
        <v>57</v>
      </c>
      <c r="G514" s="5" t="s">
        <v>1091</v>
      </c>
      <c r="H514" s="6" t="s">
        <v>401</v>
      </c>
      <c r="I514" s="27" t="s">
        <v>920</v>
      </c>
      <c r="J514" s="6" t="s">
        <v>923</v>
      </c>
      <c r="K514" s="39" t="s">
        <v>22</v>
      </c>
      <c r="L514" s="34">
        <v>100724</v>
      </c>
      <c r="O514" s="1"/>
    </row>
    <row r="515" spans="1:15" x14ac:dyDescent="0.2">
      <c r="A515" s="46">
        <f t="shared" si="14"/>
        <v>1</v>
      </c>
      <c r="B515" s="27">
        <v>1</v>
      </c>
      <c r="E515" s="2" t="s">
        <v>413</v>
      </c>
      <c r="F515" s="75" t="s">
        <v>42</v>
      </c>
      <c r="G515" s="5" t="s">
        <v>1091</v>
      </c>
      <c r="H515" s="6" t="s">
        <v>401</v>
      </c>
      <c r="I515" s="27" t="s">
        <v>920</v>
      </c>
      <c r="J515" s="6" t="s">
        <v>923</v>
      </c>
      <c r="K515" s="39" t="s">
        <v>22</v>
      </c>
      <c r="L515" s="34">
        <v>100712</v>
      </c>
      <c r="O515" s="1" t="s">
        <v>907</v>
      </c>
    </row>
    <row r="516" spans="1:15" x14ac:dyDescent="0.2">
      <c r="A516" s="46">
        <f t="shared" si="14"/>
        <v>1</v>
      </c>
      <c r="B516" s="27">
        <v>1</v>
      </c>
      <c r="E516" s="2" t="s">
        <v>413</v>
      </c>
      <c r="F516" s="75" t="s">
        <v>111</v>
      </c>
      <c r="G516" s="5" t="s">
        <v>1091</v>
      </c>
      <c r="H516" s="6" t="s">
        <v>401</v>
      </c>
      <c r="I516" s="27" t="s">
        <v>920</v>
      </c>
      <c r="J516" s="6" t="s">
        <v>923</v>
      </c>
      <c r="K516" s="39" t="s">
        <v>22</v>
      </c>
      <c r="L516" s="34">
        <v>100714</v>
      </c>
      <c r="O516" s="1" t="s">
        <v>907</v>
      </c>
    </row>
    <row r="517" spans="1:15" x14ac:dyDescent="0.2">
      <c r="A517" s="46">
        <f t="shared" si="14"/>
        <v>2</v>
      </c>
      <c r="B517" s="27">
        <v>1</v>
      </c>
      <c r="C517" s="27">
        <v>1</v>
      </c>
      <c r="E517" s="2" t="s">
        <v>413</v>
      </c>
      <c r="F517" s="75" t="s">
        <v>12</v>
      </c>
      <c r="H517" s="6" t="s">
        <v>401</v>
      </c>
      <c r="K517" s="39" t="s">
        <v>22</v>
      </c>
      <c r="L517" s="34">
        <v>100704</v>
      </c>
      <c r="O517" s="1" t="s">
        <v>907</v>
      </c>
    </row>
    <row r="518" spans="1:15" x14ac:dyDescent="0.2">
      <c r="A518" s="46">
        <f t="shared" si="14"/>
        <v>4</v>
      </c>
      <c r="B518" s="27">
        <v>1</v>
      </c>
      <c r="C518" s="27">
        <v>3</v>
      </c>
      <c r="E518" s="2" t="s">
        <v>413</v>
      </c>
      <c r="F518" s="75" t="s">
        <v>27</v>
      </c>
      <c r="K518" s="39" t="s">
        <v>76</v>
      </c>
      <c r="O518" s="1" t="s">
        <v>907</v>
      </c>
    </row>
    <row r="519" spans="1:15" x14ac:dyDescent="0.2">
      <c r="A519" s="46">
        <f t="shared" si="14"/>
        <v>1</v>
      </c>
      <c r="C519" s="27">
        <v>1</v>
      </c>
      <c r="E519" s="2" t="s">
        <v>413</v>
      </c>
      <c r="F519" s="75" t="s">
        <v>27</v>
      </c>
      <c r="K519" s="39" t="s">
        <v>17</v>
      </c>
      <c r="O519" s="1" t="s">
        <v>907</v>
      </c>
    </row>
    <row r="520" spans="1:15" x14ac:dyDescent="0.2">
      <c r="A520" s="46">
        <f t="shared" si="14"/>
        <v>2</v>
      </c>
      <c r="B520" s="27">
        <v>1</v>
      </c>
      <c r="C520" s="27">
        <v>1</v>
      </c>
      <c r="E520" s="2" t="s">
        <v>413</v>
      </c>
      <c r="F520" s="75" t="s">
        <v>107</v>
      </c>
      <c r="H520" s="6" t="s">
        <v>401</v>
      </c>
      <c r="K520" s="39" t="s">
        <v>39</v>
      </c>
      <c r="L520" s="34">
        <v>563786</v>
      </c>
      <c r="O520" s="1" t="s">
        <v>907</v>
      </c>
    </row>
    <row r="521" spans="1:15" x14ac:dyDescent="0.2">
      <c r="A521" s="46">
        <f t="shared" si="14"/>
        <v>2</v>
      </c>
      <c r="B521" s="27">
        <v>1</v>
      </c>
      <c r="C521" s="27">
        <v>1</v>
      </c>
      <c r="E521" s="2" t="s">
        <v>413</v>
      </c>
      <c r="F521" s="75" t="s">
        <v>108</v>
      </c>
      <c r="H521" s="6" t="s">
        <v>401</v>
      </c>
      <c r="I521" s="27" t="s">
        <v>920</v>
      </c>
      <c r="J521" s="116" t="s">
        <v>1135</v>
      </c>
      <c r="K521" s="39" t="s">
        <v>39</v>
      </c>
      <c r="L521" s="34">
        <v>750024</v>
      </c>
      <c r="O521" s="1" t="s">
        <v>907</v>
      </c>
    </row>
    <row r="522" spans="1:15" x14ac:dyDescent="0.2">
      <c r="A522" s="46">
        <f t="shared" si="14"/>
        <v>3</v>
      </c>
      <c r="B522" s="27">
        <v>1</v>
      </c>
      <c r="C522" s="27">
        <v>2</v>
      </c>
      <c r="E522" s="2" t="s">
        <v>413</v>
      </c>
      <c r="F522" s="75" t="s">
        <v>148</v>
      </c>
      <c r="G522" s="5" t="s">
        <v>1091</v>
      </c>
      <c r="H522" s="10" t="s">
        <v>401</v>
      </c>
      <c r="I522" s="27" t="s">
        <v>920</v>
      </c>
      <c r="J522" s="6" t="s">
        <v>923</v>
      </c>
      <c r="K522" s="39" t="s">
        <v>22</v>
      </c>
      <c r="L522" s="58">
        <v>100752</v>
      </c>
      <c r="N522" s="1" t="s">
        <v>898</v>
      </c>
      <c r="O522" s="1" t="s">
        <v>907</v>
      </c>
    </row>
    <row r="523" spans="1:15" x14ac:dyDescent="0.2">
      <c r="A523" s="46">
        <f t="shared" si="14"/>
        <v>1</v>
      </c>
      <c r="B523" s="27">
        <v>1</v>
      </c>
      <c r="E523" s="2" t="s">
        <v>413</v>
      </c>
      <c r="F523" s="75" t="s">
        <v>96</v>
      </c>
      <c r="K523" s="39" t="s">
        <v>25</v>
      </c>
      <c r="O523" s="1" t="s">
        <v>907</v>
      </c>
    </row>
    <row r="524" spans="1:15" x14ac:dyDescent="0.2">
      <c r="A524" s="46">
        <f t="shared" si="14"/>
        <v>1</v>
      </c>
      <c r="B524" s="27">
        <v>1</v>
      </c>
      <c r="E524" s="2" t="s">
        <v>413</v>
      </c>
      <c r="F524" s="75" t="s">
        <v>33</v>
      </c>
      <c r="H524" s="6" t="s">
        <v>401</v>
      </c>
      <c r="K524" s="39" t="s">
        <v>48</v>
      </c>
      <c r="L524" s="34" t="s">
        <v>414</v>
      </c>
      <c r="O524" s="1" t="s">
        <v>907</v>
      </c>
    </row>
    <row r="525" spans="1:15" x14ac:dyDescent="0.2">
      <c r="A525" s="46">
        <f t="shared" si="14"/>
        <v>1</v>
      </c>
      <c r="B525" s="27">
        <v>1</v>
      </c>
      <c r="E525" s="2" t="s">
        <v>413</v>
      </c>
      <c r="F525" s="75" t="s">
        <v>202</v>
      </c>
      <c r="K525" s="48" t="s">
        <v>14</v>
      </c>
      <c r="O525" s="1" t="s">
        <v>907</v>
      </c>
    </row>
    <row r="526" spans="1:15" x14ac:dyDescent="0.2">
      <c r="A526" s="46">
        <f t="shared" si="14"/>
        <v>1</v>
      </c>
      <c r="B526" s="27">
        <v>1</v>
      </c>
      <c r="E526" s="2" t="s">
        <v>415</v>
      </c>
      <c r="F526" s="75" t="s">
        <v>27</v>
      </c>
      <c r="K526" s="39" t="s">
        <v>76</v>
      </c>
      <c r="O526" s="1" t="s">
        <v>907</v>
      </c>
    </row>
    <row r="527" spans="1:15" x14ac:dyDescent="0.2">
      <c r="A527" s="46">
        <f t="shared" si="14"/>
        <v>2</v>
      </c>
      <c r="C527" s="27">
        <v>2</v>
      </c>
      <c r="E527" s="2" t="s">
        <v>415</v>
      </c>
      <c r="F527" s="75" t="s">
        <v>27</v>
      </c>
      <c r="H527" s="18"/>
      <c r="I527" s="95"/>
      <c r="J527" s="18"/>
      <c r="K527" s="39" t="s">
        <v>17</v>
      </c>
      <c r="O527" s="1" t="s">
        <v>907</v>
      </c>
    </row>
    <row r="528" spans="1:15" x14ac:dyDescent="0.2">
      <c r="A528" s="46">
        <f t="shared" si="14"/>
        <v>2</v>
      </c>
      <c r="B528" s="27">
        <v>1</v>
      </c>
      <c r="C528" s="27">
        <v>1</v>
      </c>
      <c r="E528" s="2" t="s">
        <v>415</v>
      </c>
      <c r="F528" s="75" t="s">
        <v>33</v>
      </c>
      <c r="H528" s="6" t="s">
        <v>418</v>
      </c>
      <c r="K528" s="39" t="s">
        <v>54</v>
      </c>
      <c r="L528" s="34">
        <v>126607</v>
      </c>
      <c r="O528" s="1" t="s">
        <v>907</v>
      </c>
    </row>
    <row r="529" spans="1:15" x14ac:dyDescent="0.2">
      <c r="A529" s="46">
        <f t="shared" si="14"/>
        <v>4</v>
      </c>
      <c r="B529" s="27">
        <v>1</v>
      </c>
      <c r="C529" s="27">
        <v>3</v>
      </c>
      <c r="E529" s="2" t="s">
        <v>415</v>
      </c>
      <c r="F529" s="75" t="s">
        <v>106</v>
      </c>
      <c r="H529" s="18" t="s">
        <v>416</v>
      </c>
      <c r="I529" s="95"/>
      <c r="J529" s="18"/>
      <c r="K529" s="39" t="s">
        <v>48</v>
      </c>
      <c r="L529" s="34" t="s">
        <v>417</v>
      </c>
      <c r="N529" s="1" t="s">
        <v>891</v>
      </c>
      <c r="O529" s="1" t="s">
        <v>907</v>
      </c>
    </row>
    <row r="530" spans="1:15" x14ac:dyDescent="0.2">
      <c r="A530" s="46">
        <f t="shared" si="14"/>
        <v>1</v>
      </c>
      <c r="B530" s="27">
        <v>1</v>
      </c>
      <c r="E530" s="13" t="s">
        <v>419</v>
      </c>
      <c r="F530" s="77" t="s">
        <v>422</v>
      </c>
      <c r="G530" s="49"/>
      <c r="H530" s="17"/>
      <c r="I530" s="91"/>
      <c r="J530" s="17"/>
      <c r="K530" s="62" t="s">
        <v>35</v>
      </c>
      <c r="L530" s="51">
        <v>105320</v>
      </c>
      <c r="O530" s="1" t="s">
        <v>907</v>
      </c>
    </row>
    <row r="531" spans="1:15" x14ac:dyDescent="0.2">
      <c r="A531" s="46">
        <f t="shared" si="14"/>
        <v>1</v>
      </c>
      <c r="B531" s="27">
        <v>1</v>
      </c>
      <c r="E531" s="2" t="s">
        <v>419</v>
      </c>
      <c r="F531" s="75" t="s">
        <v>420</v>
      </c>
      <c r="K531" s="39" t="s">
        <v>35</v>
      </c>
      <c r="L531" s="34" t="s">
        <v>421</v>
      </c>
      <c r="O531" s="1" t="s">
        <v>907</v>
      </c>
    </row>
    <row r="532" spans="1:15" x14ac:dyDescent="0.2">
      <c r="A532" s="46">
        <f t="shared" si="14"/>
        <v>1</v>
      </c>
      <c r="B532" s="27">
        <v>1</v>
      </c>
      <c r="E532" s="2" t="s">
        <v>419</v>
      </c>
      <c r="F532" s="75" t="s">
        <v>16</v>
      </c>
      <c r="H532" s="6" t="s">
        <v>424</v>
      </c>
      <c r="K532" s="48" t="s">
        <v>203</v>
      </c>
      <c r="L532" s="34">
        <v>558749</v>
      </c>
      <c r="O532" s="1" t="s">
        <v>907</v>
      </c>
    </row>
    <row r="533" spans="1:15" x14ac:dyDescent="0.2">
      <c r="A533" s="46">
        <f t="shared" si="14"/>
        <v>2</v>
      </c>
      <c r="B533" s="27">
        <v>1</v>
      </c>
      <c r="C533" s="27">
        <v>1</v>
      </c>
      <c r="E533" s="2" t="s">
        <v>419</v>
      </c>
      <c r="F533" s="75" t="s">
        <v>33</v>
      </c>
      <c r="H533" s="6" t="s">
        <v>423</v>
      </c>
      <c r="K533" s="39" t="s">
        <v>22</v>
      </c>
      <c r="L533" s="34">
        <v>124806</v>
      </c>
      <c r="O533" s="1" t="s">
        <v>907</v>
      </c>
    </row>
    <row r="534" spans="1:15" x14ac:dyDescent="0.2">
      <c r="A534" s="46">
        <f t="shared" si="14"/>
        <v>1</v>
      </c>
      <c r="B534" s="27">
        <v>1</v>
      </c>
      <c r="E534" s="2" t="s">
        <v>419</v>
      </c>
      <c r="F534" s="75" t="s">
        <v>105</v>
      </c>
      <c r="H534" s="6" t="s">
        <v>423</v>
      </c>
      <c r="K534" s="48" t="s">
        <v>22</v>
      </c>
      <c r="L534" s="34">
        <v>124821</v>
      </c>
      <c r="O534" s="1" t="s">
        <v>907</v>
      </c>
    </row>
    <row r="535" spans="1:15" x14ac:dyDescent="0.2">
      <c r="A535" s="46">
        <f t="shared" si="14"/>
        <v>4</v>
      </c>
      <c r="B535" s="27">
        <v>1</v>
      </c>
      <c r="C535" s="27">
        <v>3</v>
      </c>
      <c r="E535" s="2" t="s">
        <v>425</v>
      </c>
      <c r="F535" s="75" t="s">
        <v>24</v>
      </c>
      <c r="K535" s="39" t="s">
        <v>20</v>
      </c>
      <c r="O535" s="1" t="s">
        <v>907</v>
      </c>
    </row>
    <row r="536" spans="1:15" x14ac:dyDescent="0.2">
      <c r="A536" s="46">
        <f t="shared" si="14"/>
        <v>1</v>
      </c>
      <c r="B536" s="27">
        <v>1</v>
      </c>
      <c r="E536" s="2" t="s">
        <v>426</v>
      </c>
      <c r="F536" s="75" t="s">
        <v>27</v>
      </c>
      <c r="G536" s="5" t="s">
        <v>427</v>
      </c>
      <c r="K536" s="39" t="s">
        <v>428</v>
      </c>
      <c r="O536" s="1" t="s">
        <v>907</v>
      </c>
    </row>
    <row r="537" spans="1:15" x14ac:dyDescent="0.2">
      <c r="A537" s="46">
        <f t="shared" si="14"/>
        <v>1</v>
      </c>
      <c r="B537" s="27">
        <v>1</v>
      </c>
      <c r="E537" s="2" t="s">
        <v>432</v>
      </c>
      <c r="F537" s="75" t="s">
        <v>313</v>
      </c>
      <c r="G537" s="5" t="s">
        <v>1129</v>
      </c>
      <c r="H537" s="10" t="s">
        <v>434</v>
      </c>
      <c r="I537" s="95" t="s">
        <v>920</v>
      </c>
      <c r="J537" s="18" t="s">
        <v>923</v>
      </c>
      <c r="K537" s="39" t="s">
        <v>22</v>
      </c>
      <c r="L537" s="34">
        <v>105320</v>
      </c>
      <c r="O537" s="1" t="s">
        <v>907</v>
      </c>
    </row>
    <row r="538" spans="1:15" x14ac:dyDescent="0.2">
      <c r="A538" s="46">
        <f t="shared" si="14"/>
        <v>2</v>
      </c>
      <c r="B538" s="27">
        <v>1</v>
      </c>
      <c r="C538" s="27">
        <v>1</v>
      </c>
      <c r="E538" s="2" t="s">
        <v>432</v>
      </c>
      <c r="F538" s="75" t="s">
        <v>422</v>
      </c>
      <c r="G538" s="5" t="s">
        <v>1129</v>
      </c>
      <c r="H538" s="18" t="s">
        <v>433</v>
      </c>
      <c r="I538" s="95" t="s">
        <v>920</v>
      </c>
      <c r="J538" s="18" t="s">
        <v>923</v>
      </c>
      <c r="K538" s="39" t="s">
        <v>22</v>
      </c>
      <c r="L538" s="34">
        <v>140324</v>
      </c>
      <c r="O538" s="1" t="s">
        <v>907</v>
      </c>
    </row>
    <row r="539" spans="1:15" x14ac:dyDescent="0.2">
      <c r="A539" s="46">
        <f t="shared" si="14"/>
        <v>2</v>
      </c>
      <c r="B539" s="27">
        <v>1</v>
      </c>
      <c r="C539" s="27">
        <v>1</v>
      </c>
      <c r="E539" s="2" t="s">
        <v>432</v>
      </c>
      <c r="F539" s="75" t="s">
        <v>85</v>
      </c>
      <c r="G539" s="5" t="s">
        <v>1129</v>
      </c>
      <c r="H539" s="10" t="s">
        <v>434</v>
      </c>
      <c r="I539" s="95" t="s">
        <v>920</v>
      </c>
      <c r="J539" s="10" t="s">
        <v>931</v>
      </c>
      <c r="K539" s="39" t="s">
        <v>22</v>
      </c>
      <c r="L539" s="34">
        <v>105341</v>
      </c>
      <c r="N539" s="1" t="s">
        <v>885</v>
      </c>
      <c r="O539" s="1" t="s">
        <v>907</v>
      </c>
    </row>
    <row r="540" spans="1:15" x14ac:dyDescent="0.2">
      <c r="A540" s="46">
        <f t="shared" si="14"/>
        <v>2</v>
      </c>
      <c r="B540" s="27">
        <v>2</v>
      </c>
      <c r="E540" s="2" t="s">
        <v>432</v>
      </c>
      <c r="F540" s="75" t="s">
        <v>30</v>
      </c>
      <c r="H540" s="6" t="s">
        <v>433</v>
      </c>
      <c r="K540" s="39" t="s">
        <v>31</v>
      </c>
      <c r="L540" s="34">
        <v>553004</v>
      </c>
      <c r="O540" s="1" t="s">
        <v>907</v>
      </c>
    </row>
    <row r="541" spans="1:15" x14ac:dyDescent="0.2">
      <c r="A541" s="46">
        <f t="shared" si="14"/>
        <v>1</v>
      </c>
      <c r="B541" s="27">
        <v>1</v>
      </c>
      <c r="E541" s="2" t="s">
        <v>429</v>
      </c>
      <c r="F541" s="75" t="s">
        <v>430</v>
      </c>
      <c r="H541" s="6" t="s">
        <v>431</v>
      </c>
      <c r="O541" s="1" t="s">
        <v>907</v>
      </c>
    </row>
    <row r="542" spans="1:15" x14ac:dyDescent="0.2">
      <c r="A542" s="46">
        <f t="shared" si="14"/>
        <v>1</v>
      </c>
      <c r="B542" s="27">
        <v>1</v>
      </c>
      <c r="E542" s="2" t="s">
        <v>432</v>
      </c>
      <c r="F542" s="75" t="s">
        <v>33</v>
      </c>
      <c r="G542" s="5" t="s">
        <v>1129</v>
      </c>
      <c r="H542" s="18" t="s">
        <v>433</v>
      </c>
      <c r="I542" s="95" t="s">
        <v>920</v>
      </c>
      <c r="J542" s="18" t="s">
        <v>923</v>
      </c>
      <c r="K542" s="39" t="s">
        <v>22</v>
      </c>
      <c r="L542" s="34">
        <v>140308</v>
      </c>
      <c r="O542" s="1" t="s">
        <v>907</v>
      </c>
    </row>
    <row r="543" spans="1:15" x14ac:dyDescent="0.2">
      <c r="A543" s="46">
        <f t="shared" si="14"/>
        <v>1</v>
      </c>
      <c r="B543" s="27">
        <v>1</v>
      </c>
      <c r="E543" s="2" t="s">
        <v>435</v>
      </c>
      <c r="F543" s="75" t="s">
        <v>33</v>
      </c>
      <c r="K543" s="39" t="s">
        <v>247</v>
      </c>
      <c r="L543" s="34">
        <v>553006</v>
      </c>
      <c r="O543" s="1" t="s">
        <v>907</v>
      </c>
    </row>
    <row r="544" spans="1:15" x14ac:dyDescent="0.2">
      <c r="A544" s="46">
        <f t="shared" si="14"/>
        <v>1</v>
      </c>
      <c r="B544" s="27">
        <v>1</v>
      </c>
      <c r="E544" s="2" t="s">
        <v>436</v>
      </c>
      <c r="F544" s="75" t="s">
        <v>42</v>
      </c>
      <c r="G544" s="5" t="s">
        <v>1141</v>
      </c>
      <c r="H544" s="6" t="s">
        <v>1140</v>
      </c>
      <c r="I544" s="27" t="s">
        <v>920</v>
      </c>
      <c r="J544" s="6" t="s">
        <v>931</v>
      </c>
      <c r="K544" s="39" t="s">
        <v>22</v>
      </c>
      <c r="L544" s="34">
        <v>136509</v>
      </c>
      <c r="O544" s="1" t="s">
        <v>907</v>
      </c>
    </row>
    <row r="545" spans="1:15" x14ac:dyDescent="0.2">
      <c r="A545" s="46">
        <f t="shared" si="14"/>
        <v>1</v>
      </c>
      <c r="B545" s="27">
        <v>1</v>
      </c>
      <c r="E545" s="2" t="s">
        <v>436</v>
      </c>
      <c r="F545" s="75" t="s">
        <v>27</v>
      </c>
      <c r="H545" s="6" t="s">
        <v>437</v>
      </c>
      <c r="K545" s="39" t="s">
        <v>17</v>
      </c>
      <c r="O545" s="1" t="s">
        <v>907</v>
      </c>
    </row>
    <row r="546" spans="1:15" x14ac:dyDescent="0.2">
      <c r="A546" s="46">
        <f t="shared" si="14"/>
        <v>1</v>
      </c>
      <c r="B546" s="27">
        <v>1</v>
      </c>
      <c r="E546" s="2" t="s">
        <v>438</v>
      </c>
      <c r="F546" s="75" t="s">
        <v>30</v>
      </c>
      <c r="H546" s="6" t="s">
        <v>439</v>
      </c>
      <c r="K546" s="39" t="s">
        <v>48</v>
      </c>
      <c r="L546" s="34" t="s">
        <v>440</v>
      </c>
      <c r="O546" s="1" t="s">
        <v>907</v>
      </c>
    </row>
    <row r="547" spans="1:15" x14ac:dyDescent="0.2">
      <c r="A547" s="46">
        <f t="shared" si="14"/>
        <v>1</v>
      </c>
      <c r="B547" s="27">
        <v>1</v>
      </c>
      <c r="E547" s="2" t="s">
        <v>877</v>
      </c>
      <c r="F547" s="75" t="s">
        <v>32</v>
      </c>
      <c r="G547" s="5" t="s">
        <v>878</v>
      </c>
      <c r="H547" s="6" t="s">
        <v>1226</v>
      </c>
      <c r="I547" s="27" t="s">
        <v>920</v>
      </c>
      <c r="J547" s="6" t="s">
        <v>919</v>
      </c>
      <c r="K547" s="39" t="s">
        <v>22</v>
      </c>
      <c r="L547" s="34">
        <v>152612</v>
      </c>
      <c r="O547" s="1" t="s">
        <v>980</v>
      </c>
    </row>
    <row r="548" spans="1:15" x14ac:dyDescent="0.2">
      <c r="A548" s="46">
        <f t="shared" si="14"/>
        <v>2</v>
      </c>
      <c r="B548" s="27">
        <v>1</v>
      </c>
      <c r="C548" s="27">
        <v>1</v>
      </c>
      <c r="E548" s="2" t="s">
        <v>877</v>
      </c>
      <c r="F548" s="75" t="s">
        <v>978</v>
      </c>
      <c r="G548" s="5" t="s">
        <v>878</v>
      </c>
      <c r="H548" s="6" t="s">
        <v>1088</v>
      </c>
      <c r="I548" s="27" t="s">
        <v>920</v>
      </c>
      <c r="J548" s="6" t="s">
        <v>946</v>
      </c>
      <c r="K548" s="39" t="s">
        <v>22</v>
      </c>
      <c r="L548" s="34">
        <v>152803</v>
      </c>
      <c r="O548" s="1" t="s">
        <v>980</v>
      </c>
    </row>
    <row r="549" spans="1:15" x14ac:dyDescent="0.2">
      <c r="A549" s="46">
        <f t="shared" si="14"/>
        <v>1</v>
      </c>
      <c r="B549" s="27">
        <v>1</v>
      </c>
      <c r="E549" s="25" t="s">
        <v>441</v>
      </c>
      <c r="F549" s="22" t="s">
        <v>12</v>
      </c>
      <c r="G549" s="29"/>
      <c r="H549" s="30" t="s">
        <v>442</v>
      </c>
      <c r="I549" s="84"/>
      <c r="J549" s="30"/>
      <c r="K549" s="37" t="s">
        <v>17</v>
      </c>
      <c r="L549" s="31"/>
      <c r="O549" s="1" t="s">
        <v>907</v>
      </c>
    </row>
    <row r="550" spans="1:15" x14ac:dyDescent="0.2">
      <c r="A550" s="46">
        <f t="shared" si="14"/>
        <v>1</v>
      </c>
      <c r="B550" s="27">
        <v>1</v>
      </c>
      <c r="E550" s="25" t="s">
        <v>998</v>
      </c>
      <c r="F550" s="22" t="s">
        <v>586</v>
      </c>
      <c r="G550" s="29"/>
      <c r="H550" s="30" t="s">
        <v>993</v>
      </c>
      <c r="I550" s="84" t="s">
        <v>1001</v>
      </c>
      <c r="J550" s="30" t="s">
        <v>1002</v>
      </c>
      <c r="K550" s="37" t="s">
        <v>1000</v>
      </c>
      <c r="L550" s="31" t="s">
        <v>999</v>
      </c>
      <c r="M550" s="2" t="s">
        <v>1003</v>
      </c>
      <c r="O550" s="1" t="s">
        <v>1040</v>
      </c>
    </row>
    <row r="551" spans="1:15" x14ac:dyDescent="0.2">
      <c r="A551" s="46">
        <f t="shared" si="14"/>
        <v>1</v>
      </c>
      <c r="B551" s="27">
        <v>1</v>
      </c>
      <c r="E551" s="25" t="s">
        <v>443</v>
      </c>
      <c r="F551" s="22" t="s">
        <v>139</v>
      </c>
      <c r="G551" s="29" t="s">
        <v>945</v>
      </c>
      <c r="H551" s="20" t="s">
        <v>445</v>
      </c>
      <c r="I551" s="85" t="s">
        <v>920</v>
      </c>
      <c r="J551" s="20" t="s">
        <v>946</v>
      </c>
      <c r="K551" s="37" t="s">
        <v>22</v>
      </c>
      <c r="L551" s="32">
        <v>149022</v>
      </c>
      <c r="O551" s="1"/>
    </row>
    <row r="552" spans="1:15" x14ac:dyDescent="0.2">
      <c r="A552" s="46">
        <f t="shared" si="14"/>
        <v>3</v>
      </c>
      <c r="B552" s="27">
        <v>1</v>
      </c>
      <c r="C552" s="27">
        <v>2</v>
      </c>
      <c r="E552" s="25" t="s">
        <v>443</v>
      </c>
      <c r="F552" s="22" t="s">
        <v>444</v>
      </c>
      <c r="G552" s="29" t="s">
        <v>945</v>
      </c>
      <c r="H552" s="20" t="s">
        <v>445</v>
      </c>
      <c r="I552" s="85" t="s">
        <v>920</v>
      </c>
      <c r="J552" s="20" t="s">
        <v>946</v>
      </c>
      <c r="K552" s="37" t="s">
        <v>22</v>
      </c>
      <c r="L552" s="32">
        <v>149004</v>
      </c>
      <c r="N552" s="1" t="s">
        <v>891</v>
      </c>
      <c r="O552" s="1" t="s">
        <v>907</v>
      </c>
    </row>
    <row r="553" spans="1:15" x14ac:dyDescent="0.2">
      <c r="A553" s="46">
        <f t="shared" si="14"/>
        <v>3</v>
      </c>
      <c r="B553" s="27">
        <v>1</v>
      </c>
      <c r="C553" s="27">
        <v>2</v>
      </c>
      <c r="E553" s="25" t="s">
        <v>443</v>
      </c>
      <c r="F553" s="22" t="s">
        <v>323</v>
      </c>
      <c r="G553" s="29" t="s">
        <v>945</v>
      </c>
      <c r="H553" s="20" t="s">
        <v>445</v>
      </c>
      <c r="I553" s="85" t="s">
        <v>920</v>
      </c>
      <c r="J553" s="20" t="s">
        <v>946</v>
      </c>
      <c r="K553" s="37" t="s">
        <v>22</v>
      </c>
      <c r="L553" s="32">
        <v>149040</v>
      </c>
      <c r="O553" s="1" t="s">
        <v>907</v>
      </c>
    </row>
    <row r="554" spans="1:15" x14ac:dyDescent="0.2">
      <c r="A554" s="46">
        <f t="shared" si="14"/>
        <v>5</v>
      </c>
      <c r="B554" s="27">
        <v>1</v>
      </c>
      <c r="C554" s="27">
        <v>4</v>
      </c>
      <c r="E554" s="25" t="s">
        <v>443</v>
      </c>
      <c r="F554" s="22" t="s">
        <v>124</v>
      </c>
      <c r="G554" s="29" t="s">
        <v>945</v>
      </c>
      <c r="H554" s="20" t="s">
        <v>445</v>
      </c>
      <c r="I554" s="85" t="s">
        <v>920</v>
      </c>
      <c r="J554" s="20" t="s">
        <v>946</v>
      </c>
      <c r="K554" s="37" t="s">
        <v>22</v>
      </c>
      <c r="L554" s="32">
        <v>149016</v>
      </c>
      <c r="N554" s="1" t="s">
        <v>891</v>
      </c>
      <c r="O554" s="1" t="s">
        <v>907</v>
      </c>
    </row>
    <row r="555" spans="1:15" x14ac:dyDescent="0.2">
      <c r="A555" s="46">
        <f t="shared" ref="A555:A618" si="15">B555+C555</f>
        <v>3</v>
      </c>
      <c r="B555" s="27">
        <v>1</v>
      </c>
      <c r="C555" s="27">
        <v>2</v>
      </c>
      <c r="E555" s="25" t="s">
        <v>446</v>
      </c>
      <c r="F555" s="22" t="s">
        <v>13</v>
      </c>
      <c r="G555" s="29" t="s">
        <v>13</v>
      </c>
      <c r="H555" s="20" t="s">
        <v>13</v>
      </c>
      <c r="I555" s="85"/>
      <c r="J555" s="20"/>
      <c r="K555" s="37" t="s">
        <v>17</v>
      </c>
      <c r="L555" s="32" t="s">
        <v>13</v>
      </c>
      <c r="O555" s="1" t="s">
        <v>907</v>
      </c>
    </row>
    <row r="556" spans="1:15" x14ac:dyDescent="0.2">
      <c r="A556" s="46">
        <f t="shared" si="15"/>
        <v>0</v>
      </c>
      <c r="E556" s="25" t="s">
        <v>446</v>
      </c>
      <c r="F556" s="22" t="s">
        <v>13</v>
      </c>
      <c r="G556" s="29" t="s">
        <v>13</v>
      </c>
      <c r="H556" s="20" t="s">
        <v>13</v>
      </c>
      <c r="I556" s="85"/>
      <c r="J556" s="20"/>
      <c r="K556" s="37" t="s">
        <v>22</v>
      </c>
      <c r="L556" s="32">
        <v>422801</v>
      </c>
      <c r="O556" s="1" t="s">
        <v>907</v>
      </c>
    </row>
    <row r="557" spans="1:15" x14ac:dyDescent="0.2">
      <c r="A557" s="46">
        <f t="shared" si="15"/>
        <v>1</v>
      </c>
      <c r="B557" s="27">
        <v>1</v>
      </c>
      <c r="E557" s="25" t="s">
        <v>447</v>
      </c>
      <c r="F557" s="22" t="s">
        <v>12</v>
      </c>
      <c r="G557" s="29"/>
      <c r="H557" s="30"/>
      <c r="I557" s="84"/>
      <c r="J557" s="30"/>
      <c r="K557" s="37" t="s">
        <v>17</v>
      </c>
      <c r="L557" s="31"/>
      <c r="O557" s="1" t="s">
        <v>907</v>
      </c>
    </row>
    <row r="558" spans="1:15" x14ac:dyDescent="0.2">
      <c r="A558" s="46">
        <f t="shared" si="15"/>
        <v>1</v>
      </c>
      <c r="B558" s="27">
        <v>1</v>
      </c>
      <c r="E558" s="25" t="s">
        <v>448</v>
      </c>
      <c r="F558" s="22" t="s">
        <v>27</v>
      </c>
      <c r="G558" s="29"/>
      <c r="H558" s="30"/>
      <c r="I558" s="84"/>
      <c r="J558" s="30"/>
      <c r="K558" s="37" t="s">
        <v>72</v>
      </c>
      <c r="L558" s="31"/>
      <c r="O558" s="1" t="s">
        <v>907</v>
      </c>
    </row>
    <row r="559" spans="1:15" x14ac:dyDescent="0.2">
      <c r="A559" s="46">
        <f t="shared" si="15"/>
        <v>1</v>
      </c>
      <c r="B559" s="27">
        <v>1</v>
      </c>
      <c r="E559" s="25" t="s">
        <v>1086</v>
      </c>
      <c r="F559" s="22" t="s">
        <v>30</v>
      </c>
      <c r="G559" s="29"/>
      <c r="H559" s="30"/>
      <c r="I559" s="84"/>
      <c r="J559" s="30"/>
      <c r="K559" s="37" t="s">
        <v>1084</v>
      </c>
      <c r="L559" s="31" t="s">
        <v>1085</v>
      </c>
      <c r="O559" s="1" t="s">
        <v>1087</v>
      </c>
    </row>
    <row r="560" spans="1:15" x14ac:dyDescent="0.2">
      <c r="A560" s="46">
        <f t="shared" si="15"/>
        <v>1</v>
      </c>
      <c r="B560" s="27">
        <v>1</v>
      </c>
      <c r="E560" s="25" t="s">
        <v>1006</v>
      </c>
      <c r="F560" s="22" t="s">
        <v>586</v>
      </c>
      <c r="G560" s="29" t="s">
        <v>1007</v>
      </c>
      <c r="H560" s="30" t="s">
        <v>993</v>
      </c>
      <c r="I560" s="84" t="s">
        <v>1005</v>
      </c>
      <c r="J560" s="30" t="s">
        <v>1002</v>
      </c>
      <c r="K560" s="37" t="s">
        <v>1000</v>
      </c>
      <c r="L560" s="31" t="s">
        <v>1004</v>
      </c>
      <c r="M560" s="2" t="s">
        <v>1003</v>
      </c>
      <c r="O560" s="1" t="s">
        <v>1041</v>
      </c>
    </row>
    <row r="561" spans="1:15" x14ac:dyDescent="0.2">
      <c r="A561" s="46">
        <f t="shared" si="15"/>
        <v>1</v>
      </c>
      <c r="B561" s="27">
        <v>1</v>
      </c>
      <c r="E561" s="25" t="s">
        <v>449</v>
      </c>
      <c r="F561" s="22" t="s">
        <v>27</v>
      </c>
      <c r="G561" s="29" t="s">
        <v>13</v>
      </c>
      <c r="H561" s="30" t="s">
        <v>13</v>
      </c>
      <c r="I561" s="84"/>
      <c r="J561" s="30"/>
      <c r="K561" s="37" t="s">
        <v>450</v>
      </c>
      <c r="L561" s="31" t="s">
        <v>13</v>
      </c>
      <c r="O561" s="1" t="s">
        <v>907</v>
      </c>
    </row>
    <row r="562" spans="1:15" x14ac:dyDescent="0.2">
      <c r="A562" s="46">
        <f t="shared" si="15"/>
        <v>1</v>
      </c>
      <c r="B562" s="27">
        <v>1</v>
      </c>
      <c r="E562" s="25" t="s">
        <v>451</v>
      </c>
      <c r="F562" s="22" t="s">
        <v>190</v>
      </c>
      <c r="G562" s="29" t="s">
        <v>452</v>
      </c>
      <c r="H562" s="30" t="s">
        <v>453</v>
      </c>
      <c r="I562" s="84"/>
      <c r="J562" s="30"/>
      <c r="K562" s="37" t="s">
        <v>54</v>
      </c>
      <c r="L562" s="31">
        <v>637325</v>
      </c>
      <c r="O562" s="1" t="s">
        <v>907</v>
      </c>
    </row>
    <row r="563" spans="1:15" x14ac:dyDescent="0.2">
      <c r="A563" s="46">
        <f t="shared" si="15"/>
        <v>1</v>
      </c>
      <c r="B563" s="27">
        <v>1</v>
      </c>
      <c r="E563" s="25" t="s">
        <v>454</v>
      </c>
      <c r="F563" s="22" t="s">
        <v>33</v>
      </c>
      <c r="G563" s="29" t="s">
        <v>13</v>
      </c>
      <c r="H563" s="20" t="s">
        <v>455</v>
      </c>
      <c r="I563" s="85"/>
      <c r="J563" s="20"/>
      <c r="K563" s="37" t="s">
        <v>31</v>
      </c>
      <c r="L563" s="32">
        <v>565494</v>
      </c>
      <c r="O563" s="1" t="s">
        <v>907</v>
      </c>
    </row>
    <row r="564" spans="1:15" x14ac:dyDescent="0.2">
      <c r="A564" s="46">
        <f t="shared" si="15"/>
        <v>1</v>
      </c>
      <c r="B564" s="27">
        <v>1</v>
      </c>
      <c r="E564" s="25" t="s">
        <v>456</v>
      </c>
      <c r="F564" s="22" t="s">
        <v>139</v>
      </c>
      <c r="G564" s="29" t="s">
        <v>13</v>
      </c>
      <c r="H564" s="20" t="s">
        <v>458</v>
      </c>
      <c r="I564" s="85"/>
      <c r="J564" s="20"/>
      <c r="K564" s="37" t="s">
        <v>17</v>
      </c>
      <c r="L564" s="32" t="s">
        <v>13</v>
      </c>
      <c r="O564" s="1" t="s">
        <v>907</v>
      </c>
    </row>
    <row r="565" spans="1:15" x14ac:dyDescent="0.2">
      <c r="A565" s="46">
        <f t="shared" si="15"/>
        <v>1</v>
      </c>
      <c r="B565" s="27">
        <v>1</v>
      </c>
      <c r="E565" s="25" t="s">
        <v>456</v>
      </c>
      <c r="F565" s="22" t="s">
        <v>139</v>
      </c>
      <c r="G565" s="29" t="s">
        <v>13</v>
      </c>
      <c r="H565" s="20" t="s">
        <v>457</v>
      </c>
      <c r="I565" s="85"/>
      <c r="J565" s="20"/>
      <c r="K565" s="37" t="s">
        <v>17</v>
      </c>
      <c r="L565" s="32" t="s">
        <v>13</v>
      </c>
      <c r="O565" s="1" t="s">
        <v>907</v>
      </c>
    </row>
    <row r="566" spans="1:15" x14ac:dyDescent="0.2">
      <c r="A566" s="46">
        <f t="shared" si="15"/>
        <v>1</v>
      </c>
      <c r="B566" s="27">
        <v>1</v>
      </c>
      <c r="E566" s="25" t="s">
        <v>456</v>
      </c>
      <c r="F566" s="22" t="s">
        <v>12</v>
      </c>
      <c r="G566" s="29" t="s">
        <v>13</v>
      </c>
      <c r="H566" s="20" t="s">
        <v>457</v>
      </c>
      <c r="I566" s="85"/>
      <c r="J566" s="20"/>
      <c r="K566" s="37" t="s">
        <v>17</v>
      </c>
      <c r="L566" s="32" t="s">
        <v>13</v>
      </c>
      <c r="O566" s="1" t="s">
        <v>907</v>
      </c>
    </row>
    <row r="567" spans="1:15" x14ac:dyDescent="0.2">
      <c r="A567" s="46">
        <f t="shared" si="15"/>
        <v>1</v>
      </c>
      <c r="B567" s="27">
        <v>1</v>
      </c>
      <c r="E567" s="25" t="s">
        <v>456</v>
      </c>
      <c r="F567" s="22" t="s">
        <v>12</v>
      </c>
      <c r="G567" s="29" t="s">
        <v>13</v>
      </c>
      <c r="H567" s="20" t="s">
        <v>458</v>
      </c>
      <c r="I567" s="85"/>
      <c r="J567" s="20"/>
      <c r="K567" s="37" t="s">
        <v>17</v>
      </c>
      <c r="L567" s="32" t="s">
        <v>13</v>
      </c>
      <c r="O567" s="1" t="s">
        <v>907</v>
      </c>
    </row>
    <row r="568" spans="1:15" x14ac:dyDescent="0.2">
      <c r="A568" s="46">
        <f t="shared" si="15"/>
        <v>0</v>
      </c>
      <c r="E568" s="25" t="s">
        <v>459</v>
      </c>
      <c r="F568" s="22" t="s">
        <v>13</v>
      </c>
      <c r="G568" s="29"/>
      <c r="H568" s="30"/>
      <c r="I568" s="84"/>
      <c r="J568" s="30"/>
      <c r="K568" s="37" t="s">
        <v>13</v>
      </c>
      <c r="L568" s="31"/>
      <c r="O568" s="1" t="s">
        <v>907</v>
      </c>
    </row>
    <row r="569" spans="1:15" x14ac:dyDescent="0.2">
      <c r="A569" s="46">
        <f t="shared" si="15"/>
        <v>1</v>
      </c>
      <c r="B569" s="27">
        <v>1</v>
      </c>
      <c r="E569" s="25" t="s">
        <v>460</v>
      </c>
      <c r="F569" s="22" t="s">
        <v>57</v>
      </c>
      <c r="G569" s="29"/>
      <c r="H569" s="30" t="s">
        <v>463</v>
      </c>
      <c r="I569" s="84"/>
      <c r="J569" s="30"/>
      <c r="K569" s="37" t="s">
        <v>22</v>
      </c>
      <c r="L569" s="31">
        <v>157703</v>
      </c>
      <c r="O569" s="1" t="s">
        <v>907</v>
      </c>
    </row>
    <row r="570" spans="1:15" x14ac:dyDescent="0.2">
      <c r="A570" s="46">
        <f t="shared" si="15"/>
        <v>1</v>
      </c>
      <c r="B570" s="27">
        <v>1</v>
      </c>
      <c r="E570" s="25" t="s">
        <v>460</v>
      </c>
      <c r="F570" s="22" t="s">
        <v>33</v>
      </c>
      <c r="G570" s="29"/>
      <c r="H570" s="30" t="s">
        <v>461</v>
      </c>
      <c r="I570" s="84"/>
      <c r="J570" s="30"/>
      <c r="K570" s="37" t="s">
        <v>48</v>
      </c>
      <c r="L570" s="31" t="s">
        <v>462</v>
      </c>
      <c r="O570" s="1" t="s">
        <v>907</v>
      </c>
    </row>
    <row r="571" spans="1:15" x14ac:dyDescent="0.2">
      <c r="A571" s="46">
        <f t="shared" si="15"/>
        <v>2</v>
      </c>
      <c r="B571" s="27">
        <v>1</v>
      </c>
      <c r="C571" s="27">
        <v>1</v>
      </c>
      <c r="E571" s="25" t="s">
        <v>464</v>
      </c>
      <c r="F571" s="22" t="s">
        <v>57</v>
      </c>
      <c r="G571" s="29"/>
      <c r="H571" s="30" t="s">
        <v>962</v>
      </c>
      <c r="I571" s="84" t="s">
        <v>920</v>
      </c>
      <c r="J571" s="30" t="s">
        <v>1090</v>
      </c>
      <c r="K571" s="37" t="s">
        <v>1089</v>
      </c>
      <c r="L571" s="31">
        <v>567162</v>
      </c>
      <c r="O571" s="1" t="s">
        <v>907</v>
      </c>
    </row>
    <row r="572" spans="1:15" x14ac:dyDescent="0.2">
      <c r="A572" s="46">
        <f t="shared" si="15"/>
        <v>2</v>
      </c>
      <c r="B572" s="27">
        <v>1</v>
      </c>
      <c r="C572" s="27">
        <v>1</v>
      </c>
      <c r="E572" s="25" t="s">
        <v>464</v>
      </c>
      <c r="F572" s="22" t="s">
        <v>42</v>
      </c>
      <c r="G572" s="29"/>
      <c r="H572" s="30" t="s">
        <v>465</v>
      </c>
      <c r="I572" s="85" t="s">
        <v>920</v>
      </c>
      <c r="J572" s="30" t="s">
        <v>923</v>
      </c>
      <c r="K572" s="37" t="s">
        <v>22</v>
      </c>
      <c r="L572" s="31">
        <v>136207</v>
      </c>
      <c r="O572" s="1" t="s">
        <v>907</v>
      </c>
    </row>
    <row r="573" spans="1:15" x14ac:dyDescent="0.2">
      <c r="A573" s="46">
        <f t="shared" si="15"/>
        <v>2</v>
      </c>
      <c r="B573" s="27">
        <v>1</v>
      </c>
      <c r="C573" s="27">
        <v>1</v>
      </c>
      <c r="E573" s="25" t="s">
        <v>464</v>
      </c>
      <c r="F573" s="22" t="s">
        <v>961</v>
      </c>
      <c r="G573" s="29" t="s">
        <v>964</v>
      </c>
      <c r="H573" s="30" t="s">
        <v>962</v>
      </c>
      <c r="I573" s="84" t="s">
        <v>920</v>
      </c>
      <c r="J573" s="30" t="s">
        <v>963</v>
      </c>
      <c r="K573" s="37" t="s">
        <v>203</v>
      </c>
      <c r="L573" s="31">
        <v>752446</v>
      </c>
      <c r="O573" s="1" t="s">
        <v>907</v>
      </c>
    </row>
    <row r="574" spans="1:15" ht="17" x14ac:dyDescent="0.2">
      <c r="A574" s="46">
        <f t="shared" si="15"/>
        <v>1</v>
      </c>
      <c r="B574" s="27">
        <v>1</v>
      </c>
      <c r="E574" s="25" t="s">
        <v>464</v>
      </c>
      <c r="F574" s="22" t="s">
        <v>30</v>
      </c>
      <c r="G574" s="29"/>
      <c r="H574" s="30" t="s">
        <v>465</v>
      </c>
      <c r="I574" s="85" t="s">
        <v>920</v>
      </c>
      <c r="J574" s="107" t="s">
        <v>923</v>
      </c>
      <c r="K574" s="37" t="s">
        <v>22</v>
      </c>
      <c r="L574" s="31">
        <v>136205</v>
      </c>
      <c r="O574" s="1" t="s">
        <v>907</v>
      </c>
    </row>
    <row r="575" spans="1:15" x14ac:dyDescent="0.2">
      <c r="A575" s="46">
        <f t="shared" si="15"/>
        <v>1</v>
      </c>
      <c r="B575" s="27">
        <v>1</v>
      </c>
      <c r="E575" s="25" t="s">
        <v>464</v>
      </c>
      <c r="F575" s="22" t="s">
        <v>33</v>
      </c>
      <c r="G575" s="29"/>
      <c r="H575" s="30" t="s">
        <v>465</v>
      </c>
      <c r="I575" s="85" t="s">
        <v>920</v>
      </c>
      <c r="J575" s="30" t="s">
        <v>923</v>
      </c>
      <c r="K575" s="37" t="s">
        <v>22</v>
      </c>
      <c r="L575" s="31">
        <v>136204</v>
      </c>
      <c r="O575" s="1" t="s">
        <v>907</v>
      </c>
    </row>
    <row r="576" spans="1:15" x14ac:dyDescent="0.2">
      <c r="A576" s="46">
        <f t="shared" si="15"/>
        <v>3</v>
      </c>
      <c r="B576" s="27">
        <v>1</v>
      </c>
      <c r="C576" s="27">
        <v>2</v>
      </c>
      <c r="E576" s="44" t="s">
        <v>466</v>
      </c>
      <c r="F576" s="79" t="s">
        <v>57</v>
      </c>
      <c r="G576" s="29" t="s">
        <v>13</v>
      </c>
      <c r="H576" s="23" t="s">
        <v>467</v>
      </c>
      <c r="I576" s="97"/>
      <c r="J576" s="23"/>
      <c r="K576" s="41" t="s">
        <v>22</v>
      </c>
      <c r="L576" s="32">
        <v>123122</v>
      </c>
      <c r="O576" s="1" t="s">
        <v>908</v>
      </c>
    </row>
    <row r="577" spans="1:15" x14ac:dyDescent="0.2">
      <c r="A577" s="46">
        <f t="shared" si="15"/>
        <v>2</v>
      </c>
      <c r="B577" s="27">
        <v>1</v>
      </c>
      <c r="C577" s="27">
        <v>1</v>
      </c>
      <c r="E577" s="44" t="s">
        <v>466</v>
      </c>
      <c r="F577" s="79" t="s">
        <v>42</v>
      </c>
      <c r="G577" s="29"/>
      <c r="H577" s="23" t="s">
        <v>467</v>
      </c>
      <c r="I577" s="97" t="s">
        <v>920</v>
      </c>
      <c r="J577" s="102" t="s">
        <v>931</v>
      </c>
      <c r="K577" s="41" t="s">
        <v>22</v>
      </c>
      <c r="L577" s="32">
        <v>123116</v>
      </c>
      <c r="M577" s="103" t="s">
        <v>977</v>
      </c>
      <c r="N577" s="1" t="s">
        <v>975</v>
      </c>
      <c r="O577" s="1" t="s">
        <v>908</v>
      </c>
    </row>
    <row r="578" spans="1:15" x14ac:dyDescent="0.2">
      <c r="A578" s="46">
        <f t="shared" si="15"/>
        <v>2</v>
      </c>
      <c r="B578" s="27">
        <v>1</v>
      </c>
      <c r="C578" s="27">
        <v>1</v>
      </c>
      <c r="E578" s="44" t="s">
        <v>466</v>
      </c>
      <c r="F578" s="79" t="s">
        <v>27</v>
      </c>
      <c r="G578" s="29" t="s">
        <v>13</v>
      </c>
      <c r="H578" s="23" t="s">
        <v>13</v>
      </c>
      <c r="I578" s="97"/>
      <c r="J578" s="23"/>
      <c r="K578" s="41" t="s">
        <v>76</v>
      </c>
      <c r="L578" s="32" t="s">
        <v>13</v>
      </c>
      <c r="O578" s="1" t="s">
        <v>907</v>
      </c>
    </row>
    <row r="579" spans="1:15" x14ac:dyDescent="0.2">
      <c r="A579" s="46">
        <f t="shared" si="15"/>
        <v>1</v>
      </c>
      <c r="B579" s="27">
        <v>1</v>
      </c>
      <c r="E579" s="44" t="s">
        <v>466</v>
      </c>
      <c r="F579" s="79" t="s">
        <v>469</v>
      </c>
      <c r="G579" s="29" t="s">
        <v>13</v>
      </c>
      <c r="H579" s="23" t="s">
        <v>467</v>
      </c>
      <c r="I579" s="97"/>
      <c r="J579" s="23"/>
      <c r="K579" s="41" t="s">
        <v>22</v>
      </c>
      <c r="L579" s="32">
        <v>123132</v>
      </c>
      <c r="M579" t="s">
        <v>1237</v>
      </c>
      <c r="N579" s="1">
        <v>200</v>
      </c>
      <c r="O579" s="1" t="s">
        <v>908</v>
      </c>
    </row>
    <row r="580" spans="1:15" x14ac:dyDescent="0.2">
      <c r="A580" s="46">
        <f t="shared" si="15"/>
        <v>1</v>
      </c>
      <c r="B580" s="27">
        <v>1</v>
      </c>
      <c r="E580" s="44" t="s">
        <v>466</v>
      </c>
      <c r="F580" s="79" t="s">
        <v>469</v>
      </c>
      <c r="G580" s="29" t="s">
        <v>13</v>
      </c>
      <c r="H580" s="23" t="s">
        <v>467</v>
      </c>
      <c r="I580" s="97"/>
      <c r="J580" s="23"/>
      <c r="K580" s="41" t="s">
        <v>22</v>
      </c>
      <c r="L580" s="32">
        <v>123137</v>
      </c>
      <c r="O580" s="1" t="s">
        <v>907</v>
      </c>
    </row>
    <row r="581" spans="1:15" x14ac:dyDescent="0.2">
      <c r="A581" s="46">
        <f t="shared" si="15"/>
        <v>3</v>
      </c>
      <c r="B581" s="27">
        <v>1</v>
      </c>
      <c r="C581" s="27">
        <v>2</v>
      </c>
      <c r="E581" s="44" t="s">
        <v>466</v>
      </c>
      <c r="F581" s="79" t="s">
        <v>66</v>
      </c>
      <c r="G581" s="29" t="s">
        <v>13</v>
      </c>
      <c r="H581" s="23" t="s">
        <v>467</v>
      </c>
      <c r="I581" s="97"/>
      <c r="J581" s="23"/>
      <c r="K581" s="41" t="s">
        <v>22</v>
      </c>
      <c r="L581" s="32">
        <v>123133</v>
      </c>
      <c r="O581" s="1" t="s">
        <v>907</v>
      </c>
    </row>
    <row r="582" spans="1:15" x14ac:dyDescent="0.2">
      <c r="A582" s="46">
        <f t="shared" si="15"/>
        <v>1</v>
      </c>
      <c r="B582" s="27">
        <v>1</v>
      </c>
      <c r="E582" s="44" t="s">
        <v>466</v>
      </c>
      <c r="F582" s="79" t="s">
        <v>30</v>
      </c>
      <c r="G582" s="29" t="s">
        <v>13</v>
      </c>
      <c r="H582" s="23" t="s">
        <v>468</v>
      </c>
      <c r="I582" s="97"/>
      <c r="J582" s="23"/>
      <c r="K582" s="41" t="s">
        <v>76</v>
      </c>
      <c r="L582" s="32" t="s">
        <v>13</v>
      </c>
      <c r="N582" s="1" t="s">
        <v>886</v>
      </c>
      <c r="O582" s="1" t="s">
        <v>907</v>
      </c>
    </row>
    <row r="583" spans="1:15" x14ac:dyDescent="0.2">
      <c r="A583" s="46">
        <f t="shared" si="15"/>
        <v>1</v>
      </c>
      <c r="B583" s="27">
        <v>1</v>
      </c>
      <c r="E583" s="25" t="s">
        <v>470</v>
      </c>
      <c r="F583" s="22" t="s">
        <v>12</v>
      </c>
      <c r="G583" s="29" t="s">
        <v>1072</v>
      </c>
      <c r="H583" s="30"/>
      <c r="I583" s="84"/>
      <c r="J583" s="30"/>
      <c r="K583" s="37" t="s">
        <v>20</v>
      </c>
      <c r="L583" s="31"/>
      <c r="O583" s="1" t="s">
        <v>907</v>
      </c>
    </row>
    <row r="584" spans="1:15" x14ac:dyDescent="0.2">
      <c r="A584" s="46">
        <f t="shared" si="15"/>
        <v>2</v>
      </c>
      <c r="B584" s="27">
        <v>1</v>
      </c>
      <c r="C584" s="27">
        <v>1</v>
      </c>
      <c r="E584" s="44" t="s">
        <v>471</v>
      </c>
      <c r="F584" s="79" t="s">
        <v>77</v>
      </c>
      <c r="G584" s="29" t="s">
        <v>13</v>
      </c>
      <c r="H584" s="64">
        <v>43891</v>
      </c>
      <c r="I584" s="98"/>
      <c r="J584" s="64"/>
      <c r="K584" s="41" t="s">
        <v>22</v>
      </c>
      <c r="L584" s="32">
        <v>134308</v>
      </c>
      <c r="O584" s="1" t="s">
        <v>907</v>
      </c>
    </row>
    <row r="585" spans="1:15" x14ac:dyDescent="0.2">
      <c r="A585" s="46">
        <f t="shared" si="15"/>
        <v>0</v>
      </c>
      <c r="E585" s="25" t="s">
        <v>472</v>
      </c>
      <c r="F585" s="22" t="s">
        <v>473</v>
      </c>
      <c r="G585" s="29" t="s">
        <v>474</v>
      </c>
      <c r="H585" s="20" t="s">
        <v>13</v>
      </c>
      <c r="I585" s="85"/>
      <c r="J585" s="20"/>
      <c r="K585" s="37" t="s">
        <v>48</v>
      </c>
      <c r="L585" s="32" t="s">
        <v>475</v>
      </c>
      <c r="N585" s="1" t="s">
        <v>885</v>
      </c>
      <c r="O585" s="1" t="s">
        <v>907</v>
      </c>
    </row>
    <row r="586" spans="1:15" x14ac:dyDescent="0.2">
      <c r="A586" s="46">
        <f t="shared" si="15"/>
        <v>2</v>
      </c>
      <c r="B586" s="27">
        <v>1</v>
      </c>
      <c r="C586" s="27">
        <v>1</v>
      </c>
      <c r="E586" s="25" t="s">
        <v>476</v>
      </c>
      <c r="F586" s="22" t="s">
        <v>139</v>
      </c>
      <c r="G586" s="29" t="s">
        <v>13</v>
      </c>
      <c r="H586" s="20" t="s">
        <v>478</v>
      </c>
      <c r="I586" s="85"/>
      <c r="J586" s="20"/>
      <c r="K586" s="37" t="s">
        <v>22</v>
      </c>
      <c r="L586" s="32">
        <v>320012</v>
      </c>
      <c r="O586" s="1" t="s">
        <v>907</v>
      </c>
    </row>
    <row r="587" spans="1:15" x14ac:dyDescent="0.2">
      <c r="A587" s="46">
        <f t="shared" si="15"/>
        <v>3</v>
      </c>
      <c r="B587" s="27">
        <v>2</v>
      </c>
      <c r="C587" s="27">
        <v>1</v>
      </c>
      <c r="E587" s="25" t="s">
        <v>479</v>
      </c>
      <c r="F587" s="22" t="s">
        <v>33</v>
      </c>
      <c r="G587" s="29" t="s">
        <v>13</v>
      </c>
      <c r="H587" s="30" t="s">
        <v>477</v>
      </c>
      <c r="I587" s="85" t="s">
        <v>1109</v>
      </c>
      <c r="J587" s="30"/>
      <c r="K587" s="37" t="s">
        <v>236</v>
      </c>
      <c r="L587" s="31" t="s">
        <v>480</v>
      </c>
      <c r="O587" s="1" t="s">
        <v>907</v>
      </c>
    </row>
    <row r="588" spans="1:15" x14ac:dyDescent="0.2">
      <c r="A588" s="46">
        <f t="shared" si="15"/>
        <v>1</v>
      </c>
      <c r="B588" s="27">
        <v>1</v>
      </c>
      <c r="E588" s="25" t="s">
        <v>476</v>
      </c>
      <c r="F588" s="22" t="s">
        <v>124</v>
      </c>
      <c r="G588" s="29" t="s">
        <v>13</v>
      </c>
      <c r="H588" s="20" t="s">
        <v>477</v>
      </c>
      <c r="I588" s="85" t="s">
        <v>1109</v>
      </c>
      <c r="J588" s="20"/>
      <c r="K588" s="37" t="s">
        <v>236</v>
      </c>
      <c r="L588" s="31" t="s">
        <v>1207</v>
      </c>
      <c r="O588" s="1" t="s">
        <v>907</v>
      </c>
    </row>
    <row r="589" spans="1:15" x14ac:dyDescent="0.2">
      <c r="A589" s="46">
        <f t="shared" si="15"/>
        <v>1</v>
      </c>
      <c r="B589" s="27">
        <v>1</v>
      </c>
      <c r="E589" s="25" t="s">
        <v>481</v>
      </c>
      <c r="F589" s="22" t="s">
        <v>24</v>
      </c>
      <c r="G589" s="29"/>
      <c r="H589" s="20" t="s">
        <v>1112</v>
      </c>
      <c r="I589" s="85"/>
      <c r="J589" s="20"/>
      <c r="K589" s="37" t="s">
        <v>203</v>
      </c>
      <c r="L589" s="32">
        <v>560163</v>
      </c>
      <c r="M589" s="72"/>
      <c r="O589" s="1" t="s">
        <v>907</v>
      </c>
    </row>
    <row r="590" spans="1:15" x14ac:dyDescent="0.2">
      <c r="A590" s="46">
        <f t="shared" si="15"/>
        <v>2</v>
      </c>
      <c r="B590" s="27">
        <v>1</v>
      </c>
      <c r="C590" s="27">
        <v>1</v>
      </c>
      <c r="E590" s="25" t="s">
        <v>481</v>
      </c>
      <c r="F590" s="22" t="s">
        <v>444</v>
      </c>
      <c r="G590" s="29" t="s">
        <v>13</v>
      </c>
      <c r="H590" s="20" t="s">
        <v>486</v>
      </c>
      <c r="I590" s="85"/>
      <c r="J590" s="20"/>
      <c r="K590" s="37" t="s">
        <v>22</v>
      </c>
      <c r="L590" s="32">
        <v>653810</v>
      </c>
      <c r="M590" s="72" t="s">
        <v>487</v>
      </c>
      <c r="O590" s="1" t="s">
        <v>907</v>
      </c>
    </row>
    <row r="591" spans="1:15" x14ac:dyDescent="0.2">
      <c r="A591" s="46">
        <f t="shared" si="15"/>
        <v>2</v>
      </c>
      <c r="B591" s="27">
        <v>1</v>
      </c>
      <c r="C591" s="27">
        <v>1</v>
      </c>
      <c r="E591" s="25" t="s">
        <v>1217</v>
      </c>
      <c r="F591" s="22" t="s">
        <v>107</v>
      </c>
      <c r="G591" s="29"/>
      <c r="H591" s="30" t="s">
        <v>1112</v>
      </c>
      <c r="I591" s="84"/>
      <c r="J591" s="30"/>
      <c r="K591" s="37" t="s">
        <v>203</v>
      </c>
      <c r="L591" s="31">
        <v>565448</v>
      </c>
      <c r="O591" s="1" t="s">
        <v>907</v>
      </c>
    </row>
    <row r="592" spans="1:15" x14ac:dyDescent="0.2">
      <c r="A592" s="46">
        <f t="shared" si="15"/>
        <v>2</v>
      </c>
      <c r="B592" s="27">
        <v>1</v>
      </c>
      <c r="C592" s="27">
        <v>1</v>
      </c>
      <c r="E592" s="25" t="s">
        <v>481</v>
      </c>
      <c r="F592" s="22" t="s">
        <v>482</v>
      </c>
      <c r="G592" s="29" t="s">
        <v>13</v>
      </c>
      <c r="H592" s="20" t="s">
        <v>483</v>
      </c>
      <c r="I592" s="85"/>
      <c r="J592" s="20"/>
      <c r="K592" s="37" t="s">
        <v>484</v>
      </c>
      <c r="L592" s="32" t="s">
        <v>485</v>
      </c>
      <c r="N592" s="1" t="s">
        <v>889</v>
      </c>
      <c r="O592" s="1" t="s">
        <v>907</v>
      </c>
    </row>
    <row r="593" spans="1:15" x14ac:dyDescent="0.2">
      <c r="A593" s="46">
        <f t="shared" si="15"/>
        <v>1</v>
      </c>
      <c r="B593" s="27">
        <v>1</v>
      </c>
      <c r="E593" s="25" t="s">
        <v>490</v>
      </c>
      <c r="F593" s="22" t="s">
        <v>139</v>
      </c>
      <c r="G593" s="29" t="s">
        <v>13</v>
      </c>
      <c r="H593" s="20" t="s">
        <v>13</v>
      </c>
      <c r="I593" s="85"/>
      <c r="J593" s="20"/>
      <c r="K593" s="37" t="s">
        <v>72</v>
      </c>
      <c r="L593" s="32" t="s">
        <v>13</v>
      </c>
      <c r="O593" s="1" t="s">
        <v>907</v>
      </c>
    </row>
    <row r="594" spans="1:15" x14ac:dyDescent="0.2">
      <c r="A594" s="46">
        <f t="shared" si="15"/>
        <v>1</v>
      </c>
      <c r="B594" s="27">
        <v>1</v>
      </c>
      <c r="E594" s="25" t="s">
        <v>490</v>
      </c>
      <c r="F594" s="22" t="s">
        <v>139</v>
      </c>
      <c r="G594" s="29" t="s">
        <v>13</v>
      </c>
      <c r="H594" s="20" t="s">
        <v>1171</v>
      </c>
      <c r="I594" s="85" t="s">
        <v>920</v>
      </c>
      <c r="J594" s="20" t="s">
        <v>923</v>
      </c>
      <c r="K594" s="43" t="s">
        <v>22</v>
      </c>
      <c r="L594" s="32">
        <v>338007</v>
      </c>
      <c r="O594" s="1" t="s">
        <v>907</v>
      </c>
    </row>
    <row r="595" spans="1:15" x14ac:dyDescent="0.2">
      <c r="A595" s="46">
        <f t="shared" si="15"/>
        <v>1</v>
      </c>
      <c r="B595" s="27">
        <v>1</v>
      </c>
      <c r="E595" s="25" t="s">
        <v>490</v>
      </c>
      <c r="F595" s="22" t="s">
        <v>139</v>
      </c>
      <c r="G595" s="29" t="s">
        <v>13</v>
      </c>
      <c r="H595" s="20"/>
      <c r="I595" s="85" t="s">
        <v>920</v>
      </c>
      <c r="J595" s="20" t="s">
        <v>923</v>
      </c>
      <c r="K595" s="43" t="s">
        <v>484</v>
      </c>
      <c r="L595" s="32" t="s">
        <v>491</v>
      </c>
      <c r="O595" s="1" t="s">
        <v>907</v>
      </c>
    </row>
    <row r="596" spans="1:15" x14ac:dyDescent="0.2">
      <c r="A596" s="46">
        <f t="shared" si="15"/>
        <v>1</v>
      </c>
      <c r="B596" s="27">
        <v>1</v>
      </c>
      <c r="E596" s="25" t="s">
        <v>490</v>
      </c>
      <c r="F596" s="22" t="s">
        <v>42</v>
      </c>
      <c r="G596" s="29" t="s">
        <v>13</v>
      </c>
      <c r="H596" s="20" t="s">
        <v>1171</v>
      </c>
      <c r="I596" s="85" t="s">
        <v>920</v>
      </c>
      <c r="J596" s="20" t="s">
        <v>923</v>
      </c>
      <c r="K596" s="43" t="s">
        <v>22</v>
      </c>
      <c r="L596" s="32">
        <v>338009</v>
      </c>
      <c r="O596" s="1" t="s">
        <v>907</v>
      </c>
    </row>
    <row r="597" spans="1:15" x14ac:dyDescent="0.2">
      <c r="A597" s="46">
        <f t="shared" si="15"/>
        <v>0</v>
      </c>
      <c r="B597" s="27">
        <v>0</v>
      </c>
      <c r="E597" s="25" t="s">
        <v>490</v>
      </c>
      <c r="F597" s="22" t="s">
        <v>30</v>
      </c>
      <c r="G597" s="29" t="s">
        <v>13</v>
      </c>
      <c r="H597" s="20" t="s">
        <v>13</v>
      </c>
      <c r="I597" s="85"/>
      <c r="J597" s="20"/>
      <c r="K597" s="37" t="s">
        <v>484</v>
      </c>
      <c r="L597" s="32" t="s">
        <v>491</v>
      </c>
      <c r="N597" s="1" t="s">
        <v>81</v>
      </c>
      <c r="O597" s="1" t="s">
        <v>907</v>
      </c>
    </row>
    <row r="598" spans="1:15" x14ac:dyDescent="0.2">
      <c r="A598" s="46">
        <f t="shared" si="15"/>
        <v>1</v>
      </c>
      <c r="B598" s="27">
        <v>1</v>
      </c>
      <c r="E598" s="25" t="s">
        <v>492</v>
      </c>
      <c r="F598" s="22" t="s">
        <v>139</v>
      </c>
      <c r="G598" s="29" t="s">
        <v>925</v>
      </c>
      <c r="H598" s="30" t="s">
        <v>492</v>
      </c>
      <c r="I598" s="84" t="s">
        <v>926</v>
      </c>
      <c r="J598" s="30" t="s">
        <v>927</v>
      </c>
      <c r="K598" s="37" t="s">
        <v>22</v>
      </c>
      <c r="L598" s="31">
        <v>144611</v>
      </c>
      <c r="O598" s="1" t="s">
        <v>908</v>
      </c>
    </row>
    <row r="599" spans="1:15" x14ac:dyDescent="0.2">
      <c r="A599" s="46">
        <f t="shared" si="15"/>
        <v>2</v>
      </c>
      <c r="B599" s="27">
        <v>1</v>
      </c>
      <c r="C599" s="27">
        <v>1</v>
      </c>
      <c r="E599" s="25" t="s">
        <v>492</v>
      </c>
      <c r="F599" s="22" t="s">
        <v>57</v>
      </c>
      <c r="G599" s="29" t="s">
        <v>925</v>
      </c>
      <c r="H599" s="30" t="s">
        <v>492</v>
      </c>
      <c r="I599" s="84" t="s">
        <v>926</v>
      </c>
      <c r="J599" s="30" t="s">
        <v>927</v>
      </c>
      <c r="K599" s="37" t="s">
        <v>22</v>
      </c>
      <c r="L599" s="31">
        <v>144605</v>
      </c>
      <c r="O599" s="1" t="s">
        <v>908</v>
      </c>
    </row>
    <row r="600" spans="1:15" x14ac:dyDescent="0.2">
      <c r="A600" s="46">
        <f t="shared" si="15"/>
        <v>1</v>
      </c>
      <c r="B600" s="27">
        <v>1</v>
      </c>
      <c r="E600" s="25" t="s">
        <v>492</v>
      </c>
      <c r="F600" s="22" t="s">
        <v>33</v>
      </c>
      <c r="G600" s="29" t="s">
        <v>925</v>
      </c>
      <c r="H600" s="30" t="s">
        <v>492</v>
      </c>
      <c r="I600" s="84"/>
      <c r="J600" s="30"/>
      <c r="K600" s="37" t="s">
        <v>22</v>
      </c>
      <c r="L600" s="31">
        <v>144608</v>
      </c>
      <c r="O600" s="1" t="s">
        <v>907</v>
      </c>
    </row>
    <row r="601" spans="1:15" x14ac:dyDescent="0.2">
      <c r="A601" s="46">
        <f t="shared" si="15"/>
        <v>2</v>
      </c>
      <c r="B601" s="27">
        <v>1</v>
      </c>
      <c r="C601" s="27">
        <v>1</v>
      </c>
      <c r="E601" s="25" t="s">
        <v>492</v>
      </c>
      <c r="F601" s="22" t="s">
        <v>124</v>
      </c>
      <c r="G601" s="29" t="s">
        <v>925</v>
      </c>
      <c r="H601" s="30" t="s">
        <v>492</v>
      </c>
      <c r="I601" s="84" t="s">
        <v>926</v>
      </c>
      <c r="J601" s="30" t="s">
        <v>927</v>
      </c>
      <c r="K601" s="37" t="s">
        <v>22</v>
      </c>
      <c r="L601" s="31">
        <v>144619</v>
      </c>
      <c r="O601" s="1" t="s">
        <v>907</v>
      </c>
    </row>
    <row r="602" spans="1:15" x14ac:dyDescent="0.2">
      <c r="A602" s="46">
        <f t="shared" si="15"/>
        <v>3</v>
      </c>
      <c r="B602" s="27">
        <v>1</v>
      </c>
      <c r="C602" s="27">
        <v>2</v>
      </c>
      <c r="E602" s="25" t="s">
        <v>493</v>
      </c>
      <c r="F602" s="22" t="s">
        <v>33</v>
      </c>
      <c r="G602" s="29"/>
      <c r="H602" s="30" t="s">
        <v>494</v>
      </c>
      <c r="I602" s="84"/>
      <c r="J602" s="30"/>
      <c r="K602" s="37" t="s">
        <v>48</v>
      </c>
      <c r="L602" s="31" t="s">
        <v>495</v>
      </c>
      <c r="O602" s="1" t="s">
        <v>907</v>
      </c>
    </row>
    <row r="603" spans="1:15" x14ac:dyDescent="0.2">
      <c r="A603" s="46">
        <f t="shared" si="15"/>
        <v>1</v>
      </c>
      <c r="B603" s="27">
        <v>1</v>
      </c>
      <c r="E603" s="25" t="s">
        <v>496</v>
      </c>
      <c r="F603" s="22" t="s">
        <v>30</v>
      </c>
      <c r="G603" s="29"/>
      <c r="H603" s="30"/>
      <c r="I603" s="84"/>
      <c r="J603" s="30"/>
      <c r="K603" s="37" t="s">
        <v>497</v>
      </c>
      <c r="L603" s="31">
        <v>54054</v>
      </c>
      <c r="O603" s="1" t="s">
        <v>907</v>
      </c>
    </row>
    <row r="604" spans="1:15" x14ac:dyDescent="0.2">
      <c r="A604" s="46">
        <f t="shared" si="15"/>
        <v>1</v>
      </c>
      <c r="B604" s="27">
        <v>1</v>
      </c>
      <c r="E604" s="25" t="s">
        <v>496</v>
      </c>
      <c r="F604" s="22" t="s">
        <v>33</v>
      </c>
      <c r="G604" s="29" t="s">
        <v>13</v>
      </c>
      <c r="H604" s="30" t="s">
        <v>13</v>
      </c>
      <c r="I604" s="84"/>
      <c r="J604" s="30"/>
      <c r="K604" s="37" t="s">
        <v>497</v>
      </c>
      <c r="L604" s="31">
        <v>22549914</v>
      </c>
      <c r="O604" s="1" t="s">
        <v>907</v>
      </c>
    </row>
    <row r="605" spans="1:15" x14ac:dyDescent="0.2">
      <c r="A605" s="46">
        <f t="shared" si="15"/>
        <v>1</v>
      </c>
      <c r="B605" s="27">
        <v>1</v>
      </c>
      <c r="E605" s="25" t="s">
        <v>496</v>
      </c>
      <c r="F605" s="22" t="s">
        <v>33</v>
      </c>
      <c r="G605" s="29"/>
      <c r="H605" s="30"/>
      <c r="I605" s="84"/>
      <c r="J605" s="30"/>
      <c r="K605" s="37" t="s">
        <v>497</v>
      </c>
      <c r="L605" s="31">
        <v>22549814</v>
      </c>
      <c r="O605" s="1" t="s">
        <v>907</v>
      </c>
    </row>
    <row r="606" spans="1:15" x14ac:dyDescent="0.2">
      <c r="A606" s="46">
        <f t="shared" si="15"/>
        <v>1</v>
      </c>
      <c r="B606" s="27">
        <v>1</v>
      </c>
      <c r="E606" s="25" t="s">
        <v>498</v>
      </c>
      <c r="F606" s="22" t="s">
        <v>501</v>
      </c>
      <c r="G606" s="29" t="s">
        <v>500</v>
      </c>
      <c r="H606" s="30"/>
      <c r="I606" s="84"/>
      <c r="J606" s="30"/>
      <c r="K606" s="37" t="s">
        <v>13</v>
      </c>
      <c r="L606" s="31"/>
      <c r="O606" s="1" t="s">
        <v>907</v>
      </c>
    </row>
    <row r="607" spans="1:15" x14ac:dyDescent="0.2">
      <c r="A607" s="46">
        <f t="shared" si="15"/>
        <v>1</v>
      </c>
      <c r="B607" s="27">
        <v>1</v>
      </c>
      <c r="E607" s="25" t="s">
        <v>498</v>
      </c>
      <c r="F607" s="22" t="s">
        <v>499</v>
      </c>
      <c r="G607" s="29" t="s">
        <v>500</v>
      </c>
      <c r="H607" s="30"/>
      <c r="I607" s="84"/>
      <c r="J607" s="30"/>
      <c r="K607" s="37" t="s">
        <v>13</v>
      </c>
      <c r="L607" s="31"/>
      <c r="O607" s="1" t="s">
        <v>907</v>
      </c>
    </row>
    <row r="608" spans="1:15" x14ac:dyDescent="0.2">
      <c r="A608" s="46">
        <f t="shared" si="15"/>
        <v>1</v>
      </c>
      <c r="B608" s="27">
        <v>1</v>
      </c>
      <c r="E608" s="25" t="s">
        <v>502</v>
      </c>
      <c r="F608" s="22" t="s">
        <v>13</v>
      </c>
      <c r="G608" s="29"/>
      <c r="H608" s="30"/>
      <c r="I608" s="84"/>
      <c r="J608" s="30"/>
      <c r="K608" s="37" t="s">
        <v>13</v>
      </c>
      <c r="L608" s="31" t="s">
        <v>503</v>
      </c>
      <c r="O608" s="1" t="s">
        <v>907</v>
      </c>
    </row>
    <row r="609" spans="1:15" x14ac:dyDescent="0.2">
      <c r="A609" s="46">
        <f t="shared" si="15"/>
        <v>2</v>
      </c>
      <c r="B609" s="27">
        <v>1</v>
      </c>
      <c r="C609" s="27">
        <v>1</v>
      </c>
      <c r="E609" s="25" t="s">
        <v>504</v>
      </c>
      <c r="F609" s="22" t="s">
        <v>24</v>
      </c>
      <c r="G609" s="29" t="s">
        <v>13</v>
      </c>
      <c r="H609" s="20" t="s">
        <v>13</v>
      </c>
      <c r="I609" s="85"/>
      <c r="J609" s="20"/>
      <c r="K609" s="37" t="s">
        <v>17</v>
      </c>
      <c r="L609" s="32" t="s">
        <v>13</v>
      </c>
      <c r="O609" s="1" t="s">
        <v>907</v>
      </c>
    </row>
    <row r="610" spans="1:15" x14ac:dyDescent="0.2">
      <c r="A610" s="46">
        <f t="shared" si="15"/>
        <v>1</v>
      </c>
      <c r="B610" s="27">
        <v>1</v>
      </c>
      <c r="E610" s="25" t="s">
        <v>504</v>
      </c>
      <c r="F610" s="22" t="s">
        <v>267</v>
      </c>
      <c r="G610" s="29" t="s">
        <v>505</v>
      </c>
      <c r="H610" s="20" t="s">
        <v>506</v>
      </c>
      <c r="I610" s="85" t="s">
        <v>920</v>
      </c>
      <c r="J610" s="20" t="s">
        <v>931</v>
      </c>
      <c r="K610" s="37" t="s">
        <v>22</v>
      </c>
      <c r="L610" s="36">
        <v>108448</v>
      </c>
      <c r="O610" s="1" t="s">
        <v>908</v>
      </c>
    </row>
    <row r="611" spans="1:15" x14ac:dyDescent="0.2">
      <c r="A611" s="46">
        <f t="shared" si="15"/>
        <v>1</v>
      </c>
      <c r="B611" s="27">
        <v>1</v>
      </c>
      <c r="E611" s="25" t="s">
        <v>504</v>
      </c>
      <c r="F611" s="22" t="s">
        <v>27</v>
      </c>
      <c r="G611" s="29" t="s">
        <v>505</v>
      </c>
      <c r="H611" s="20" t="s">
        <v>506</v>
      </c>
      <c r="I611" s="85"/>
      <c r="J611" s="20"/>
      <c r="K611" s="37" t="s">
        <v>76</v>
      </c>
      <c r="L611" s="32" t="s">
        <v>13</v>
      </c>
      <c r="N611" s="1" t="s">
        <v>885</v>
      </c>
      <c r="O611" s="1" t="s">
        <v>907</v>
      </c>
    </row>
    <row r="612" spans="1:15" x14ac:dyDescent="0.2">
      <c r="A612" s="46">
        <f t="shared" si="15"/>
        <v>3</v>
      </c>
      <c r="B612" s="27">
        <v>1</v>
      </c>
      <c r="C612" s="27">
        <v>2</v>
      </c>
      <c r="E612" s="25" t="s">
        <v>504</v>
      </c>
      <c r="F612" s="22" t="s">
        <v>27</v>
      </c>
      <c r="G612" s="29" t="s">
        <v>505</v>
      </c>
      <c r="H612" s="20" t="s">
        <v>506</v>
      </c>
      <c r="I612" s="85" t="s">
        <v>920</v>
      </c>
      <c r="J612" s="20" t="s">
        <v>931</v>
      </c>
      <c r="K612" s="37" t="s">
        <v>22</v>
      </c>
      <c r="L612" s="36">
        <v>108404</v>
      </c>
      <c r="O612" s="1" t="s">
        <v>907</v>
      </c>
    </row>
    <row r="613" spans="1:15" x14ac:dyDescent="0.2">
      <c r="A613" s="46">
        <f t="shared" si="15"/>
        <v>1</v>
      </c>
      <c r="B613" s="27">
        <v>1</v>
      </c>
      <c r="E613" s="25" t="s">
        <v>504</v>
      </c>
      <c r="F613" s="22" t="s">
        <v>30</v>
      </c>
      <c r="G613" s="29" t="s">
        <v>505</v>
      </c>
      <c r="H613" s="20" t="s">
        <v>506</v>
      </c>
      <c r="I613" s="85" t="s">
        <v>920</v>
      </c>
      <c r="J613" s="20" t="s">
        <v>931</v>
      </c>
      <c r="K613" s="37" t="s">
        <v>22</v>
      </c>
      <c r="L613" s="36">
        <v>108406</v>
      </c>
      <c r="O613" s="1" t="s">
        <v>907</v>
      </c>
    </row>
    <row r="614" spans="1:15" x14ac:dyDescent="0.2">
      <c r="A614" s="46">
        <f t="shared" si="15"/>
        <v>1</v>
      </c>
      <c r="B614" s="27">
        <v>1</v>
      </c>
      <c r="E614" s="25" t="s">
        <v>504</v>
      </c>
      <c r="F614" s="22" t="s">
        <v>507</v>
      </c>
      <c r="G614" s="29" t="s">
        <v>505</v>
      </c>
      <c r="H614" s="20" t="s">
        <v>506</v>
      </c>
      <c r="I614" s="85"/>
      <c r="J614" s="20"/>
      <c r="K614" s="37" t="s">
        <v>76</v>
      </c>
      <c r="L614" s="32" t="s">
        <v>13</v>
      </c>
      <c r="N614" s="1" t="s">
        <v>885</v>
      </c>
      <c r="O614" s="1" t="s">
        <v>907</v>
      </c>
    </row>
    <row r="615" spans="1:15" x14ac:dyDescent="0.2">
      <c r="A615" s="46">
        <f t="shared" si="15"/>
        <v>1</v>
      </c>
      <c r="B615" s="27">
        <v>1</v>
      </c>
      <c r="E615" s="25" t="s">
        <v>504</v>
      </c>
      <c r="F615" s="22" t="s">
        <v>96</v>
      </c>
      <c r="G615" s="29" t="s">
        <v>505</v>
      </c>
      <c r="H615" s="20" t="s">
        <v>506</v>
      </c>
      <c r="I615" s="85" t="s">
        <v>920</v>
      </c>
      <c r="J615" s="20" t="s">
        <v>931</v>
      </c>
      <c r="K615" s="37" t="s">
        <v>22</v>
      </c>
      <c r="L615" s="32">
        <v>108430</v>
      </c>
      <c r="O615" s="1" t="s">
        <v>907</v>
      </c>
    </row>
    <row r="616" spans="1:15" x14ac:dyDescent="0.2">
      <c r="A616" s="46">
        <f t="shared" si="15"/>
        <v>1</v>
      </c>
      <c r="B616" s="27">
        <v>1</v>
      </c>
      <c r="E616" s="25" t="s">
        <v>508</v>
      </c>
      <c r="F616" s="22" t="s">
        <v>16</v>
      </c>
      <c r="G616" s="29" t="s">
        <v>13</v>
      </c>
      <c r="H616" s="20" t="s">
        <v>509</v>
      </c>
      <c r="I616" s="85"/>
      <c r="J616" s="20"/>
      <c r="K616" s="37" t="s">
        <v>22</v>
      </c>
      <c r="L616" s="32">
        <v>111504</v>
      </c>
      <c r="O616" s="1" t="s">
        <v>907</v>
      </c>
    </row>
    <row r="617" spans="1:15" x14ac:dyDescent="0.2">
      <c r="A617" s="46">
        <f t="shared" si="15"/>
        <v>1</v>
      </c>
      <c r="B617" s="27">
        <v>1</v>
      </c>
      <c r="D617" s="27">
        <v>1</v>
      </c>
      <c r="E617" s="25" t="s">
        <v>510</v>
      </c>
      <c r="F617" s="22" t="s">
        <v>24</v>
      </c>
      <c r="G617" s="29"/>
      <c r="H617" s="30"/>
      <c r="I617" s="84"/>
      <c r="J617" s="30"/>
      <c r="K617" s="37" t="s">
        <v>20</v>
      </c>
      <c r="L617" s="31"/>
      <c r="O617" s="1" t="s">
        <v>907</v>
      </c>
    </row>
    <row r="618" spans="1:15" x14ac:dyDescent="0.2">
      <c r="A618" s="46">
        <f t="shared" si="15"/>
        <v>3</v>
      </c>
      <c r="B618" s="27">
        <v>1</v>
      </c>
      <c r="C618" s="27">
        <v>2</v>
      </c>
      <c r="E618" s="25" t="s">
        <v>510</v>
      </c>
      <c r="F618" s="22" t="s">
        <v>27</v>
      </c>
      <c r="G618" s="29"/>
      <c r="H618" s="30" t="s">
        <v>511</v>
      </c>
      <c r="I618" s="84"/>
      <c r="J618" s="30"/>
      <c r="K618" s="37" t="s">
        <v>20</v>
      </c>
      <c r="L618" s="31"/>
      <c r="O618" s="1" t="s">
        <v>907</v>
      </c>
    </row>
    <row r="619" spans="1:15" x14ac:dyDescent="0.2">
      <c r="A619" s="46">
        <f t="shared" ref="A619:A672" si="16">B619+C619</f>
        <v>1</v>
      </c>
      <c r="B619" s="27">
        <v>1</v>
      </c>
      <c r="E619" s="25" t="s">
        <v>510</v>
      </c>
      <c r="F619" s="22" t="s">
        <v>27</v>
      </c>
      <c r="G619" s="29"/>
      <c r="H619" s="30"/>
      <c r="I619" s="84"/>
      <c r="J619" s="30"/>
      <c r="K619" s="37" t="s">
        <v>247</v>
      </c>
      <c r="L619" s="31" t="s">
        <v>512</v>
      </c>
      <c r="O619" s="1" t="s">
        <v>907</v>
      </c>
    </row>
    <row r="620" spans="1:15" x14ac:dyDescent="0.2">
      <c r="A620" s="46">
        <f t="shared" si="16"/>
        <v>1</v>
      </c>
      <c r="B620" s="27">
        <v>1</v>
      </c>
      <c r="E620" s="25" t="s">
        <v>510</v>
      </c>
      <c r="F620" s="22" t="s">
        <v>96</v>
      </c>
      <c r="G620" s="29"/>
      <c r="H620" s="30" t="s">
        <v>511</v>
      </c>
      <c r="I620" s="84"/>
      <c r="J620" s="30"/>
      <c r="K620" s="37" t="s">
        <v>20</v>
      </c>
      <c r="L620" s="31"/>
      <c r="O620" s="1" t="s">
        <v>907</v>
      </c>
    </row>
    <row r="621" spans="1:15" x14ac:dyDescent="0.2">
      <c r="A621" s="46">
        <f t="shared" si="16"/>
        <v>2</v>
      </c>
      <c r="B621" s="27">
        <v>1</v>
      </c>
      <c r="C621" s="27">
        <v>1</v>
      </c>
      <c r="E621" s="25" t="s">
        <v>513</v>
      </c>
      <c r="F621" s="22" t="s">
        <v>24</v>
      </c>
      <c r="G621" s="29"/>
      <c r="H621" s="30"/>
      <c r="I621" s="84"/>
      <c r="J621" s="30"/>
      <c r="K621" s="37" t="s">
        <v>20</v>
      </c>
      <c r="L621" s="31"/>
      <c r="O621" s="1" t="s">
        <v>907</v>
      </c>
    </row>
    <row r="622" spans="1:15" x14ac:dyDescent="0.2">
      <c r="A622" s="46">
        <f t="shared" si="16"/>
        <v>3</v>
      </c>
      <c r="B622" s="27">
        <v>1</v>
      </c>
      <c r="C622" s="27">
        <v>2</v>
      </c>
      <c r="E622" s="25" t="s">
        <v>513</v>
      </c>
      <c r="F622" s="22" t="s">
        <v>26</v>
      </c>
      <c r="G622" s="29"/>
      <c r="H622" s="30"/>
      <c r="I622" s="84"/>
      <c r="J622" s="30"/>
      <c r="K622" s="37" t="s">
        <v>17</v>
      </c>
      <c r="L622" s="31"/>
      <c r="O622" s="1" t="s">
        <v>907</v>
      </c>
    </row>
    <row r="623" spans="1:15" x14ac:dyDescent="0.2">
      <c r="A623" s="46">
        <f t="shared" si="16"/>
        <v>3</v>
      </c>
      <c r="B623" s="27">
        <v>1</v>
      </c>
      <c r="C623" s="27">
        <v>2</v>
      </c>
      <c r="E623" s="25" t="s">
        <v>513</v>
      </c>
      <c r="F623" s="22" t="s">
        <v>27</v>
      </c>
      <c r="G623" s="29"/>
      <c r="H623" s="30"/>
      <c r="I623" s="84"/>
      <c r="J623" s="30"/>
      <c r="K623" s="37" t="s">
        <v>20</v>
      </c>
      <c r="L623" s="31"/>
      <c r="O623" s="1" t="s">
        <v>907</v>
      </c>
    </row>
    <row r="624" spans="1:15" x14ac:dyDescent="0.2">
      <c r="A624" s="46">
        <f t="shared" si="16"/>
        <v>1</v>
      </c>
      <c r="B624" s="27">
        <v>1</v>
      </c>
      <c r="E624" s="25" t="s">
        <v>513</v>
      </c>
      <c r="F624" s="22" t="s">
        <v>514</v>
      </c>
      <c r="G624" s="29"/>
      <c r="H624" s="30"/>
      <c r="I624" s="84"/>
      <c r="J624" s="30"/>
      <c r="K624" s="37" t="s">
        <v>20</v>
      </c>
      <c r="L624" s="31"/>
      <c r="O624" s="1" t="s">
        <v>907</v>
      </c>
    </row>
    <row r="625" spans="1:15" x14ac:dyDescent="0.2">
      <c r="A625" s="46">
        <f t="shared" si="16"/>
        <v>1</v>
      </c>
      <c r="B625" s="27">
        <v>1</v>
      </c>
      <c r="E625" s="25" t="s">
        <v>513</v>
      </c>
      <c r="F625" s="22" t="s">
        <v>96</v>
      </c>
      <c r="G625" s="29"/>
      <c r="H625" s="30"/>
      <c r="I625" s="84"/>
      <c r="J625" s="30"/>
      <c r="K625" s="37" t="s">
        <v>20</v>
      </c>
      <c r="L625" s="31"/>
      <c r="O625" s="1" t="s">
        <v>907</v>
      </c>
    </row>
    <row r="626" spans="1:15" x14ac:dyDescent="0.2">
      <c r="A626" s="46">
        <f t="shared" si="16"/>
        <v>1</v>
      </c>
      <c r="B626" s="27">
        <v>1</v>
      </c>
      <c r="E626" s="25" t="s">
        <v>515</v>
      </c>
      <c r="F626" s="22" t="s">
        <v>30</v>
      </c>
      <c r="G626" s="29"/>
      <c r="H626" s="30"/>
      <c r="I626" s="84"/>
      <c r="J626" s="30"/>
      <c r="K626" s="37" t="s">
        <v>247</v>
      </c>
      <c r="L626" s="31" t="s">
        <v>517</v>
      </c>
      <c r="O626" s="1" t="s">
        <v>907</v>
      </c>
    </row>
    <row r="627" spans="1:15" x14ac:dyDescent="0.2">
      <c r="A627" s="46">
        <f t="shared" si="16"/>
        <v>1</v>
      </c>
      <c r="B627" s="27">
        <v>1</v>
      </c>
      <c r="E627" s="25" t="s">
        <v>515</v>
      </c>
      <c r="F627" s="22" t="s">
        <v>33</v>
      </c>
      <c r="G627" s="29"/>
      <c r="H627" s="30"/>
      <c r="I627" s="84"/>
      <c r="J627" s="30"/>
      <c r="K627" s="37" t="s">
        <v>247</v>
      </c>
      <c r="L627" s="31" t="s">
        <v>516</v>
      </c>
      <c r="O627" s="1" t="s">
        <v>907</v>
      </c>
    </row>
    <row r="628" spans="1:15" x14ac:dyDescent="0.2">
      <c r="A628" s="46">
        <f t="shared" si="16"/>
        <v>1</v>
      </c>
      <c r="B628" s="27">
        <v>1</v>
      </c>
      <c r="E628" s="25" t="s">
        <v>518</v>
      </c>
      <c r="F628" s="22" t="s">
        <v>33</v>
      </c>
      <c r="G628" s="29" t="s">
        <v>519</v>
      </c>
      <c r="H628" s="20" t="s">
        <v>520</v>
      </c>
      <c r="I628" s="85"/>
      <c r="J628" s="20"/>
      <c r="K628" s="37" t="s">
        <v>22</v>
      </c>
      <c r="L628" s="32">
        <v>109208</v>
      </c>
      <c r="N628" s="1" t="s">
        <v>81</v>
      </c>
      <c r="O628" s="1" t="s">
        <v>907</v>
      </c>
    </row>
    <row r="629" spans="1:15" x14ac:dyDescent="0.2">
      <c r="A629" s="46">
        <f t="shared" si="16"/>
        <v>1</v>
      </c>
      <c r="B629" s="27">
        <v>1</v>
      </c>
      <c r="E629" s="25" t="s">
        <v>521</v>
      </c>
      <c r="F629" s="22" t="s">
        <v>24</v>
      </c>
      <c r="G629" s="29"/>
      <c r="H629" s="30"/>
      <c r="I629" s="84"/>
      <c r="J629" s="30"/>
      <c r="K629" s="37" t="s">
        <v>20</v>
      </c>
      <c r="L629" s="31"/>
      <c r="O629" s="1" t="s">
        <v>907</v>
      </c>
    </row>
    <row r="630" spans="1:15" x14ac:dyDescent="0.2">
      <c r="A630" s="46">
        <f t="shared" si="16"/>
        <v>1</v>
      </c>
      <c r="B630" s="27">
        <v>1</v>
      </c>
      <c r="E630" s="25" t="s">
        <v>521</v>
      </c>
      <c r="F630" s="22" t="s">
        <v>26</v>
      </c>
      <c r="G630" s="29" t="s">
        <v>524</v>
      </c>
      <c r="H630" s="30"/>
      <c r="I630" s="84"/>
      <c r="J630" s="30"/>
      <c r="K630" s="37" t="s">
        <v>17</v>
      </c>
      <c r="L630" s="31"/>
      <c r="O630" s="1" t="s">
        <v>907</v>
      </c>
    </row>
    <row r="631" spans="1:15" x14ac:dyDescent="0.2">
      <c r="A631" s="46">
        <f t="shared" si="16"/>
        <v>1</v>
      </c>
      <c r="B631" s="27">
        <v>1</v>
      </c>
      <c r="E631" s="25" t="s">
        <v>521</v>
      </c>
      <c r="F631" s="22" t="s">
        <v>27</v>
      </c>
      <c r="G631" s="29" t="s">
        <v>522</v>
      </c>
      <c r="H631" s="30"/>
      <c r="I631" s="84"/>
      <c r="J631" s="30"/>
      <c r="K631" s="37" t="s">
        <v>20</v>
      </c>
      <c r="L631" s="31"/>
      <c r="M631" t="s">
        <v>523</v>
      </c>
      <c r="O631" s="1" t="s">
        <v>907</v>
      </c>
    </row>
    <row r="632" spans="1:15" x14ac:dyDescent="0.2">
      <c r="A632" s="46">
        <f t="shared" si="16"/>
        <v>3</v>
      </c>
      <c r="B632" s="27">
        <v>1</v>
      </c>
      <c r="C632" s="27">
        <v>2</v>
      </c>
      <c r="E632" s="2" t="s">
        <v>525</v>
      </c>
      <c r="F632" s="75" t="s">
        <v>42</v>
      </c>
      <c r="H632" s="6" t="s">
        <v>526</v>
      </c>
      <c r="K632" s="39" t="s">
        <v>22</v>
      </c>
      <c r="L632" s="34">
        <v>300213</v>
      </c>
      <c r="M632" t="s">
        <v>534</v>
      </c>
      <c r="N632" s="1" t="s">
        <v>888</v>
      </c>
      <c r="O632" s="1" t="s">
        <v>907</v>
      </c>
    </row>
    <row r="633" spans="1:15" x14ac:dyDescent="0.2">
      <c r="A633" s="46">
        <f t="shared" si="16"/>
        <v>1</v>
      </c>
      <c r="C633" s="27">
        <v>1</v>
      </c>
      <c r="E633" s="2" t="s">
        <v>525</v>
      </c>
      <c r="F633" s="75" t="s">
        <v>42</v>
      </c>
      <c r="H633" s="6" t="s">
        <v>526</v>
      </c>
      <c r="K633" s="39" t="s">
        <v>22</v>
      </c>
      <c r="L633" s="34">
        <v>30214</v>
      </c>
      <c r="O633" s="1" t="s">
        <v>907</v>
      </c>
    </row>
    <row r="634" spans="1:15" x14ac:dyDescent="0.2">
      <c r="A634" s="46">
        <f t="shared" si="16"/>
        <v>1</v>
      </c>
      <c r="B634" s="27">
        <v>1</v>
      </c>
      <c r="E634" s="2" t="s">
        <v>525</v>
      </c>
      <c r="F634" s="7" t="s">
        <v>527</v>
      </c>
      <c r="H634" s="6" t="s">
        <v>528</v>
      </c>
      <c r="K634" s="39" t="s">
        <v>22</v>
      </c>
      <c r="L634" s="34">
        <v>309221</v>
      </c>
      <c r="O634" s="1" t="s">
        <v>907</v>
      </c>
    </row>
    <row r="635" spans="1:15" x14ac:dyDescent="0.2">
      <c r="A635" s="46">
        <f t="shared" si="16"/>
        <v>2</v>
      </c>
      <c r="B635" s="27">
        <v>1</v>
      </c>
      <c r="C635" s="27">
        <v>1</v>
      </c>
      <c r="E635" s="2" t="s">
        <v>525</v>
      </c>
      <c r="F635" s="75" t="s">
        <v>116</v>
      </c>
      <c r="H635" s="6" t="s">
        <v>526</v>
      </c>
      <c r="K635" s="39" t="s">
        <v>22</v>
      </c>
      <c r="L635" s="34">
        <v>300218</v>
      </c>
      <c r="O635" s="1" t="s">
        <v>907</v>
      </c>
    </row>
    <row r="636" spans="1:15" x14ac:dyDescent="0.2">
      <c r="A636" s="46">
        <f t="shared" si="16"/>
        <v>1</v>
      </c>
      <c r="B636" s="27">
        <v>1</v>
      </c>
      <c r="E636" s="2" t="s">
        <v>525</v>
      </c>
      <c r="F636" s="75" t="s">
        <v>30</v>
      </c>
      <c r="H636" s="6" t="s">
        <v>526</v>
      </c>
      <c r="K636" s="39" t="s">
        <v>22</v>
      </c>
      <c r="L636" s="34">
        <v>300206</v>
      </c>
      <c r="O636" s="1" t="s">
        <v>907</v>
      </c>
    </row>
    <row r="637" spans="1:15" x14ac:dyDescent="0.2">
      <c r="A637" s="46">
        <f t="shared" si="16"/>
        <v>2</v>
      </c>
      <c r="B637" s="27">
        <v>1</v>
      </c>
      <c r="C637" s="27">
        <v>1</v>
      </c>
      <c r="E637" s="2" t="s">
        <v>525</v>
      </c>
      <c r="F637" s="75" t="s">
        <v>90</v>
      </c>
      <c r="H637" s="6" t="s">
        <v>526</v>
      </c>
      <c r="K637" s="39" t="s">
        <v>22</v>
      </c>
      <c r="L637" s="34">
        <v>300216</v>
      </c>
      <c r="O637" s="1" t="s">
        <v>907</v>
      </c>
    </row>
    <row r="638" spans="1:15" x14ac:dyDescent="0.2">
      <c r="A638" s="46">
        <f t="shared" si="16"/>
        <v>3</v>
      </c>
      <c r="B638" s="27">
        <v>1</v>
      </c>
      <c r="C638" s="27">
        <v>2</v>
      </c>
      <c r="E638" s="2" t="s">
        <v>529</v>
      </c>
      <c r="F638" s="75" t="s">
        <v>24</v>
      </c>
      <c r="K638" s="39" t="s">
        <v>20</v>
      </c>
      <c r="O638" s="1" t="s">
        <v>907</v>
      </c>
    </row>
    <row r="639" spans="1:15" x14ac:dyDescent="0.2">
      <c r="A639" s="46">
        <f t="shared" si="16"/>
        <v>1</v>
      </c>
      <c r="B639" s="27">
        <v>1</v>
      </c>
      <c r="E639" s="2" t="s">
        <v>529</v>
      </c>
      <c r="F639" s="75" t="s">
        <v>26</v>
      </c>
      <c r="K639" s="39" t="s">
        <v>17</v>
      </c>
      <c r="O639" s="1" t="s">
        <v>907</v>
      </c>
    </row>
    <row r="640" spans="1:15" ht="17" x14ac:dyDescent="0.2">
      <c r="A640" s="46">
        <f t="shared" si="16"/>
        <v>1</v>
      </c>
      <c r="B640" s="27">
        <v>1</v>
      </c>
      <c r="E640" s="2" t="s">
        <v>529</v>
      </c>
      <c r="F640" s="75" t="s">
        <v>57</v>
      </c>
      <c r="H640" s="108" t="s">
        <v>1127</v>
      </c>
      <c r="I640" s="27" t="s">
        <v>604</v>
      </c>
      <c r="J640" s="6" t="s">
        <v>1110</v>
      </c>
      <c r="K640" s="39" t="s">
        <v>22</v>
      </c>
      <c r="L640" s="34">
        <v>317422</v>
      </c>
      <c r="O640" s="1" t="s">
        <v>1128</v>
      </c>
    </row>
    <row r="641" spans="1:15" x14ac:dyDescent="0.2">
      <c r="A641" s="46">
        <f t="shared" si="16"/>
        <v>2</v>
      </c>
      <c r="B641" s="27">
        <v>1</v>
      </c>
      <c r="C641" s="27">
        <v>1</v>
      </c>
      <c r="E641" s="2" t="s">
        <v>529</v>
      </c>
      <c r="F641" s="75" t="s">
        <v>27</v>
      </c>
      <c r="K641" s="39" t="s">
        <v>20</v>
      </c>
      <c r="O641" s="1" t="s">
        <v>907</v>
      </c>
    </row>
    <row r="642" spans="1:15" x14ac:dyDescent="0.2">
      <c r="A642" s="46">
        <f t="shared" si="16"/>
        <v>1</v>
      </c>
      <c r="B642" s="27">
        <v>1</v>
      </c>
      <c r="E642" s="2" t="s">
        <v>529</v>
      </c>
      <c r="F642" s="75" t="s">
        <v>88</v>
      </c>
      <c r="K642" s="39" t="s">
        <v>22</v>
      </c>
      <c r="N642" s="1" t="s">
        <v>886</v>
      </c>
      <c r="O642" s="1" t="s">
        <v>907</v>
      </c>
    </row>
    <row r="643" spans="1:15" x14ac:dyDescent="0.2">
      <c r="A643" s="46">
        <f t="shared" si="16"/>
        <v>1</v>
      </c>
      <c r="B643" s="27">
        <v>1</v>
      </c>
      <c r="E643" s="2" t="s">
        <v>529</v>
      </c>
      <c r="F643" s="75" t="s">
        <v>96</v>
      </c>
      <c r="K643" s="39" t="s">
        <v>20</v>
      </c>
      <c r="O643" s="1" t="s">
        <v>907</v>
      </c>
    </row>
    <row r="644" spans="1:15" x14ac:dyDescent="0.2">
      <c r="A644" s="46">
        <f t="shared" si="16"/>
        <v>1</v>
      </c>
      <c r="B644" s="27">
        <v>1</v>
      </c>
      <c r="E644" s="25" t="s">
        <v>530</v>
      </c>
      <c r="F644" s="22" t="s">
        <v>26</v>
      </c>
      <c r="G644" s="29"/>
      <c r="H644" s="30"/>
      <c r="I644" s="84"/>
      <c r="J644" s="30"/>
      <c r="K644" s="37" t="s">
        <v>22</v>
      </c>
      <c r="L644" s="31">
        <v>137218</v>
      </c>
      <c r="O644" s="1" t="s">
        <v>907</v>
      </c>
    </row>
    <row r="645" spans="1:15" x14ac:dyDescent="0.2">
      <c r="A645" s="46">
        <f t="shared" si="16"/>
        <v>1</v>
      </c>
      <c r="B645" s="27">
        <v>1</v>
      </c>
      <c r="E645" s="2" t="s">
        <v>530</v>
      </c>
      <c r="F645" s="75" t="s">
        <v>313</v>
      </c>
      <c r="H645" s="6" t="s">
        <v>1180</v>
      </c>
      <c r="I645" s="27" t="s">
        <v>926</v>
      </c>
      <c r="J645" s="6" t="s">
        <v>317</v>
      </c>
      <c r="K645" s="39" t="s">
        <v>22</v>
      </c>
      <c r="L645" s="34">
        <v>137241</v>
      </c>
      <c r="O645" s="1"/>
    </row>
    <row r="646" spans="1:15" x14ac:dyDescent="0.2">
      <c r="A646" s="46">
        <f t="shared" si="16"/>
        <v>2</v>
      </c>
      <c r="B646" s="27">
        <v>1</v>
      </c>
      <c r="C646" s="27">
        <v>1</v>
      </c>
      <c r="E646" s="25" t="s">
        <v>879</v>
      </c>
      <c r="F646" s="22" t="s">
        <v>115</v>
      </c>
      <c r="G646" s="29"/>
      <c r="H646" s="20" t="s">
        <v>880</v>
      </c>
      <c r="I646" s="85" t="s">
        <v>604</v>
      </c>
      <c r="J646" s="20" t="s">
        <v>946</v>
      </c>
      <c r="K646" s="37" t="s">
        <v>22</v>
      </c>
      <c r="L646" s="32">
        <v>307642</v>
      </c>
      <c r="O646" s="1"/>
    </row>
    <row r="647" spans="1:15" x14ac:dyDescent="0.2">
      <c r="A647" s="46">
        <f t="shared" si="16"/>
        <v>1</v>
      </c>
      <c r="B647" s="27">
        <v>1</v>
      </c>
      <c r="E647" s="25" t="s">
        <v>524</v>
      </c>
      <c r="F647" s="22" t="s">
        <v>27</v>
      </c>
      <c r="G647" s="29"/>
      <c r="H647" s="30"/>
      <c r="I647" s="84"/>
      <c r="J647" s="30"/>
      <c r="K647" s="37" t="s">
        <v>20</v>
      </c>
      <c r="L647" s="31"/>
      <c r="O647" s="1" t="s">
        <v>907</v>
      </c>
    </row>
    <row r="648" spans="1:15" x14ac:dyDescent="0.2">
      <c r="A648" s="46">
        <f t="shared" si="16"/>
        <v>1</v>
      </c>
      <c r="B648" s="27">
        <v>1</v>
      </c>
      <c r="E648" s="25" t="s">
        <v>531</v>
      </c>
      <c r="F648" s="22" t="s">
        <v>24</v>
      </c>
      <c r="G648" s="29"/>
      <c r="H648" s="30" t="s">
        <v>532</v>
      </c>
      <c r="I648" s="84"/>
      <c r="J648" s="30"/>
      <c r="K648" s="37" t="s">
        <v>14</v>
      </c>
      <c r="L648" s="31"/>
      <c r="O648" s="1" t="s">
        <v>907</v>
      </c>
    </row>
    <row r="649" spans="1:15" x14ac:dyDescent="0.2">
      <c r="A649" s="46">
        <f t="shared" si="16"/>
        <v>2</v>
      </c>
      <c r="B649" s="27">
        <v>1</v>
      </c>
      <c r="C649" s="27">
        <v>1</v>
      </c>
      <c r="E649" s="25" t="s">
        <v>531</v>
      </c>
      <c r="F649" s="22" t="s">
        <v>12</v>
      </c>
      <c r="G649" s="29"/>
      <c r="H649" s="30" t="s">
        <v>532</v>
      </c>
      <c r="I649" s="84"/>
      <c r="J649" s="30"/>
      <c r="K649" s="37" t="s">
        <v>14</v>
      </c>
      <c r="L649" s="31"/>
      <c r="O649" s="1" t="s">
        <v>907</v>
      </c>
    </row>
    <row r="650" spans="1:15" x14ac:dyDescent="0.2">
      <c r="A650" s="46">
        <f t="shared" si="16"/>
        <v>1</v>
      </c>
      <c r="B650" s="27">
        <v>1</v>
      </c>
      <c r="E650" s="25" t="s">
        <v>533</v>
      </c>
      <c r="F650" s="22" t="s">
        <v>33</v>
      </c>
      <c r="G650" s="29" t="s">
        <v>534</v>
      </c>
      <c r="H650" s="30" t="s">
        <v>535</v>
      </c>
      <c r="I650" s="84"/>
      <c r="J650" s="30"/>
      <c r="K650" s="37" t="s">
        <v>48</v>
      </c>
      <c r="L650" s="31" t="s">
        <v>536</v>
      </c>
      <c r="M650" t="s">
        <v>537</v>
      </c>
      <c r="O650" s="1" t="s">
        <v>907</v>
      </c>
    </row>
    <row r="651" spans="1:15" x14ac:dyDescent="0.2">
      <c r="A651" s="46">
        <f t="shared" si="16"/>
        <v>1</v>
      </c>
      <c r="B651" s="27">
        <v>1</v>
      </c>
      <c r="E651" s="25" t="s">
        <v>538</v>
      </c>
      <c r="F651" s="22" t="s">
        <v>27</v>
      </c>
      <c r="G651" s="29"/>
      <c r="H651" s="30"/>
      <c r="I651" s="84"/>
      <c r="J651" s="30"/>
      <c r="K651" s="37" t="s">
        <v>72</v>
      </c>
      <c r="L651" s="31"/>
      <c r="O651" s="1" t="s">
        <v>907</v>
      </c>
    </row>
    <row r="652" spans="1:15" x14ac:dyDescent="0.2">
      <c r="A652" s="46">
        <f t="shared" si="16"/>
        <v>1</v>
      </c>
      <c r="B652" s="27">
        <v>1</v>
      </c>
      <c r="E652" s="25" t="s">
        <v>539</v>
      </c>
      <c r="F652" s="22" t="s">
        <v>42</v>
      </c>
      <c r="G652" s="29"/>
      <c r="H652" s="30" t="s">
        <v>540</v>
      </c>
      <c r="I652" s="84"/>
      <c r="J652" s="30"/>
      <c r="K652" s="37" t="s">
        <v>22</v>
      </c>
      <c r="L652" s="31">
        <v>107712</v>
      </c>
      <c r="O652" s="1" t="s">
        <v>907</v>
      </c>
    </row>
    <row r="653" spans="1:15" x14ac:dyDescent="0.2">
      <c r="A653" s="46">
        <f t="shared" si="16"/>
        <v>2</v>
      </c>
      <c r="B653" s="27">
        <v>1</v>
      </c>
      <c r="C653" s="27">
        <v>1</v>
      </c>
      <c r="E653" s="25" t="s">
        <v>541</v>
      </c>
      <c r="F653" s="22" t="s">
        <v>16</v>
      </c>
      <c r="G653" s="29"/>
      <c r="H653" s="30"/>
      <c r="I653" s="84"/>
      <c r="J653" s="30"/>
      <c r="K653" s="37" t="s">
        <v>17</v>
      </c>
      <c r="L653" s="31"/>
      <c r="O653" s="1" t="s">
        <v>907</v>
      </c>
    </row>
    <row r="654" spans="1:15" x14ac:dyDescent="0.2">
      <c r="A654" s="46">
        <f t="shared" si="16"/>
        <v>1</v>
      </c>
      <c r="B654" s="27">
        <v>1</v>
      </c>
      <c r="E654" s="25" t="s">
        <v>542</v>
      </c>
      <c r="F654" s="22" t="s">
        <v>27</v>
      </c>
      <c r="G654" s="29"/>
      <c r="H654" s="30" t="s">
        <v>543</v>
      </c>
      <c r="I654" s="84"/>
      <c r="J654" s="30"/>
      <c r="K654" s="37" t="s">
        <v>22</v>
      </c>
      <c r="L654" s="31">
        <v>122402</v>
      </c>
      <c r="O654" s="1" t="s">
        <v>907</v>
      </c>
    </row>
    <row r="655" spans="1:15" x14ac:dyDescent="0.2">
      <c r="A655" s="46">
        <f t="shared" si="16"/>
        <v>2</v>
      </c>
      <c r="B655" s="27">
        <v>1</v>
      </c>
      <c r="C655" s="27">
        <v>1</v>
      </c>
      <c r="E655" s="25" t="s">
        <v>544</v>
      </c>
      <c r="F655" s="22" t="s">
        <v>57</v>
      </c>
      <c r="G655" s="29"/>
      <c r="H655" s="30" t="s">
        <v>545</v>
      </c>
      <c r="I655" s="84" t="s">
        <v>920</v>
      </c>
      <c r="J655" s="30" t="s">
        <v>1151</v>
      </c>
      <c r="K655" s="37" t="s">
        <v>22</v>
      </c>
      <c r="L655" s="31">
        <v>505814</v>
      </c>
      <c r="O655" s="1"/>
    </row>
    <row r="656" spans="1:15" x14ac:dyDescent="0.2">
      <c r="A656" s="46">
        <f t="shared" si="16"/>
        <v>1</v>
      </c>
      <c r="B656" s="27">
        <v>1</v>
      </c>
      <c r="E656" s="25" t="s">
        <v>544</v>
      </c>
      <c r="F656" s="22" t="s">
        <v>109</v>
      </c>
      <c r="G656" s="29" t="s">
        <v>13</v>
      </c>
      <c r="H656" s="20" t="s">
        <v>545</v>
      </c>
      <c r="I656" s="85"/>
      <c r="J656" s="20"/>
      <c r="K656" s="37" t="s">
        <v>22</v>
      </c>
      <c r="L656" s="32">
        <v>505832</v>
      </c>
      <c r="O656" s="1" t="s">
        <v>907</v>
      </c>
    </row>
    <row r="657" spans="1:15" x14ac:dyDescent="0.2">
      <c r="A657" s="46">
        <f t="shared" si="16"/>
        <v>2</v>
      </c>
      <c r="B657" s="27">
        <v>1</v>
      </c>
      <c r="C657" s="27">
        <v>1</v>
      </c>
      <c r="E657" s="25" t="s">
        <v>544</v>
      </c>
      <c r="F657" s="22" t="s">
        <v>115</v>
      </c>
      <c r="G657" s="29" t="s">
        <v>13</v>
      </c>
      <c r="H657" s="20" t="s">
        <v>545</v>
      </c>
      <c r="I657" s="85"/>
      <c r="J657" s="20"/>
      <c r="K657" s="37" t="s">
        <v>22</v>
      </c>
      <c r="L657" s="32">
        <v>505838</v>
      </c>
      <c r="N657" s="1" t="s">
        <v>889</v>
      </c>
      <c r="O657" s="1" t="s">
        <v>907</v>
      </c>
    </row>
    <row r="658" spans="1:15" x14ac:dyDescent="0.2">
      <c r="A658" s="46">
        <f t="shared" si="16"/>
        <v>2</v>
      </c>
      <c r="B658" s="27">
        <v>1</v>
      </c>
      <c r="C658" s="27">
        <v>1</v>
      </c>
      <c r="E658" s="25" t="s">
        <v>544</v>
      </c>
      <c r="F658" s="22" t="s">
        <v>546</v>
      </c>
      <c r="G658" s="29" t="s">
        <v>13</v>
      </c>
      <c r="H658" s="20" t="s">
        <v>545</v>
      </c>
      <c r="I658" s="85"/>
      <c r="J658" s="20"/>
      <c r="K658" s="37" t="s">
        <v>48</v>
      </c>
      <c r="L658" s="32" t="s">
        <v>547</v>
      </c>
      <c r="N658" s="1" t="s">
        <v>889</v>
      </c>
      <c r="O658" s="1" t="s">
        <v>907</v>
      </c>
    </row>
    <row r="659" spans="1:15" x14ac:dyDescent="0.2">
      <c r="A659" s="46">
        <f t="shared" si="16"/>
        <v>2</v>
      </c>
      <c r="B659" s="27">
        <v>1</v>
      </c>
      <c r="C659" s="27">
        <v>1</v>
      </c>
      <c r="E659" s="25" t="s">
        <v>544</v>
      </c>
      <c r="F659" s="22" t="s">
        <v>33</v>
      </c>
      <c r="G659" s="29" t="s">
        <v>13</v>
      </c>
      <c r="H659" s="20" t="s">
        <v>545</v>
      </c>
      <c r="I659" s="85"/>
      <c r="J659" s="20"/>
      <c r="K659" s="37" t="s">
        <v>48</v>
      </c>
      <c r="L659" s="32" t="s">
        <v>548</v>
      </c>
      <c r="O659" s="1" t="s">
        <v>907</v>
      </c>
    </row>
    <row r="660" spans="1:15" x14ac:dyDescent="0.2">
      <c r="A660" s="46">
        <f t="shared" si="16"/>
        <v>1</v>
      </c>
      <c r="B660" s="27">
        <v>1</v>
      </c>
      <c r="E660" s="25" t="s">
        <v>549</v>
      </c>
      <c r="F660" s="22" t="s">
        <v>30</v>
      </c>
      <c r="G660" s="29" t="s">
        <v>13</v>
      </c>
      <c r="H660" s="30" t="s">
        <v>550</v>
      </c>
      <c r="I660" s="84"/>
      <c r="J660" s="30"/>
      <c r="K660" s="37" t="s">
        <v>31</v>
      </c>
      <c r="L660" s="31">
        <v>553434</v>
      </c>
      <c r="O660" s="1" t="s">
        <v>907</v>
      </c>
    </row>
    <row r="661" spans="1:15" x14ac:dyDescent="0.2">
      <c r="A661" s="46">
        <f t="shared" si="16"/>
        <v>3</v>
      </c>
      <c r="B661" s="27">
        <v>1</v>
      </c>
      <c r="C661" s="27">
        <v>2</v>
      </c>
      <c r="E661" s="25" t="s">
        <v>1182</v>
      </c>
      <c r="F661" s="22" t="s">
        <v>27</v>
      </c>
      <c r="G661" s="29"/>
      <c r="H661" s="30" t="s">
        <v>1183</v>
      </c>
      <c r="I661" s="84" t="s">
        <v>920</v>
      </c>
      <c r="J661" s="30" t="s">
        <v>1184</v>
      </c>
      <c r="K661" s="37" t="s">
        <v>54</v>
      </c>
      <c r="L661" s="31">
        <v>407003</v>
      </c>
      <c r="O661" s="1"/>
    </row>
    <row r="662" spans="1:15" x14ac:dyDescent="0.2">
      <c r="A662" s="46">
        <f t="shared" si="16"/>
        <v>4</v>
      </c>
      <c r="B662" s="27">
        <v>1</v>
      </c>
      <c r="C662" s="27">
        <v>3</v>
      </c>
      <c r="E662" s="25" t="s">
        <v>551</v>
      </c>
      <c r="F662" s="22" t="s">
        <v>24</v>
      </c>
      <c r="G662" s="29" t="s">
        <v>13</v>
      </c>
      <c r="H662" s="20" t="s">
        <v>13</v>
      </c>
      <c r="I662" s="85"/>
      <c r="J662" s="20"/>
      <c r="K662" s="37" t="s">
        <v>17</v>
      </c>
      <c r="L662" s="32" t="s">
        <v>13</v>
      </c>
      <c r="O662" s="1" t="s">
        <v>907</v>
      </c>
    </row>
    <row r="663" spans="1:15" x14ac:dyDescent="0.2">
      <c r="A663" s="46">
        <f t="shared" si="16"/>
        <v>2</v>
      </c>
      <c r="B663" s="27">
        <v>1</v>
      </c>
      <c r="C663" s="27">
        <v>1</v>
      </c>
      <c r="E663" s="25" t="s">
        <v>551</v>
      </c>
      <c r="F663" s="22" t="s">
        <v>26</v>
      </c>
      <c r="G663" s="29" t="s">
        <v>13</v>
      </c>
      <c r="H663" s="30" t="s">
        <v>13</v>
      </c>
      <c r="I663" s="84"/>
      <c r="J663" s="30"/>
      <c r="K663" s="37" t="s">
        <v>17</v>
      </c>
      <c r="L663" s="31" t="s">
        <v>13</v>
      </c>
      <c r="O663" s="1" t="s">
        <v>907</v>
      </c>
    </row>
    <row r="664" spans="1:15" x14ac:dyDescent="0.2">
      <c r="A664" s="46">
        <f t="shared" si="16"/>
        <v>1</v>
      </c>
      <c r="B664" s="27">
        <v>1</v>
      </c>
      <c r="E664" s="25" t="s">
        <v>551</v>
      </c>
      <c r="F664" s="22" t="s">
        <v>267</v>
      </c>
      <c r="G664" s="29" t="s">
        <v>13</v>
      </c>
      <c r="H664" s="30" t="s">
        <v>1197</v>
      </c>
      <c r="I664" s="27" t="s">
        <v>920</v>
      </c>
      <c r="J664" s="20" t="s">
        <v>923</v>
      </c>
      <c r="K664" s="37" t="s">
        <v>22</v>
      </c>
      <c r="L664" s="31">
        <v>405740</v>
      </c>
      <c r="O664" s="1" t="s">
        <v>907</v>
      </c>
    </row>
    <row r="665" spans="1:15" x14ac:dyDescent="0.2">
      <c r="A665" s="46">
        <f t="shared" si="16"/>
        <v>1</v>
      </c>
      <c r="B665" s="27">
        <v>1</v>
      </c>
      <c r="E665" s="25" t="s">
        <v>551</v>
      </c>
      <c r="F665" s="22" t="s">
        <v>27</v>
      </c>
      <c r="G665" s="29" t="s">
        <v>13</v>
      </c>
      <c r="H665" s="20" t="s">
        <v>13</v>
      </c>
      <c r="I665" s="85"/>
      <c r="J665" s="20"/>
      <c r="K665" s="37" t="s">
        <v>17</v>
      </c>
      <c r="L665" s="32" t="s">
        <v>13</v>
      </c>
      <c r="O665" s="1" t="s">
        <v>907</v>
      </c>
    </row>
    <row r="666" spans="1:15" x14ac:dyDescent="0.2">
      <c r="A666" s="46">
        <f t="shared" si="16"/>
        <v>2</v>
      </c>
      <c r="B666" s="27">
        <v>1</v>
      </c>
      <c r="C666" s="27">
        <v>1</v>
      </c>
      <c r="E666" s="25" t="s">
        <v>551</v>
      </c>
      <c r="F666" s="22" t="s">
        <v>110</v>
      </c>
      <c r="G666" s="29" t="s">
        <v>13</v>
      </c>
      <c r="H666" s="30" t="s">
        <v>553</v>
      </c>
      <c r="I666" s="84"/>
      <c r="J666" s="30"/>
      <c r="K666" s="37" t="s">
        <v>22</v>
      </c>
      <c r="L666" s="31">
        <v>405731</v>
      </c>
      <c r="O666" s="1" t="s">
        <v>907</v>
      </c>
    </row>
    <row r="667" spans="1:15" x14ac:dyDescent="0.2">
      <c r="A667" s="46">
        <f t="shared" si="16"/>
        <v>1</v>
      </c>
      <c r="B667" s="27">
        <v>1</v>
      </c>
      <c r="E667" s="25" t="s">
        <v>551</v>
      </c>
      <c r="F667" s="22" t="s">
        <v>552</v>
      </c>
      <c r="G667" s="29" t="s">
        <v>13</v>
      </c>
      <c r="H667" s="30" t="s">
        <v>13</v>
      </c>
      <c r="I667" s="84"/>
      <c r="J667" s="30"/>
      <c r="K667" s="37" t="s">
        <v>17</v>
      </c>
      <c r="L667" s="31" t="s">
        <v>13</v>
      </c>
      <c r="O667" s="1" t="s">
        <v>907</v>
      </c>
    </row>
    <row r="668" spans="1:15" x14ac:dyDescent="0.2">
      <c r="A668" s="46">
        <f t="shared" si="16"/>
        <v>1</v>
      </c>
      <c r="B668" s="27">
        <v>1</v>
      </c>
      <c r="E668" s="25" t="s">
        <v>551</v>
      </c>
      <c r="F668" s="22" t="s">
        <v>96</v>
      </c>
      <c r="G668" s="29" t="s">
        <v>13</v>
      </c>
      <c r="H668" s="20" t="s">
        <v>13</v>
      </c>
      <c r="I668" s="85"/>
      <c r="J668" s="20"/>
      <c r="K668" s="37" t="s">
        <v>17</v>
      </c>
      <c r="L668" s="32" t="s">
        <v>13</v>
      </c>
      <c r="O668" s="1" t="s">
        <v>907</v>
      </c>
    </row>
    <row r="669" spans="1:15" x14ac:dyDescent="0.2">
      <c r="A669" s="46">
        <f t="shared" si="16"/>
        <v>1</v>
      </c>
      <c r="B669" s="27">
        <v>1</v>
      </c>
      <c r="E669" s="25" t="s">
        <v>551</v>
      </c>
      <c r="F669" s="22" t="s">
        <v>33</v>
      </c>
      <c r="G669" s="29" t="s">
        <v>13</v>
      </c>
      <c r="H669" s="20" t="s">
        <v>1197</v>
      </c>
      <c r="I669" s="85" t="s">
        <v>920</v>
      </c>
      <c r="J669" s="20" t="s">
        <v>923</v>
      </c>
      <c r="K669" s="37" t="s">
        <v>22</v>
      </c>
      <c r="L669" s="32">
        <v>405705</v>
      </c>
      <c r="O669" s="1" t="s">
        <v>907</v>
      </c>
    </row>
    <row r="670" spans="1:15" x14ac:dyDescent="0.2">
      <c r="A670" s="46">
        <f t="shared" si="16"/>
        <v>1</v>
      </c>
      <c r="B670" s="27">
        <v>1</v>
      </c>
      <c r="E670" s="25" t="s">
        <v>554</v>
      </c>
      <c r="F670" s="22" t="s">
        <v>27</v>
      </c>
      <c r="G670" s="29" t="s">
        <v>13</v>
      </c>
      <c r="H670" s="30" t="s">
        <v>13</v>
      </c>
      <c r="I670" s="84"/>
      <c r="J670" s="30"/>
      <c r="K670" s="37" t="s">
        <v>247</v>
      </c>
      <c r="L670" s="31" t="s">
        <v>555</v>
      </c>
      <c r="O670" s="1" t="s">
        <v>907</v>
      </c>
    </row>
    <row r="671" spans="1:15" x14ac:dyDescent="0.2">
      <c r="A671" s="46">
        <f t="shared" si="16"/>
        <v>1</v>
      </c>
      <c r="B671" s="27">
        <v>1</v>
      </c>
      <c r="E671" s="25" t="s">
        <v>556</v>
      </c>
      <c r="F671" s="22" t="s">
        <v>16</v>
      </c>
      <c r="G671" s="29" t="s">
        <v>1063</v>
      </c>
      <c r="H671" s="20" t="s">
        <v>557</v>
      </c>
      <c r="I671" s="85"/>
      <c r="J671" s="20" t="s">
        <v>915</v>
      </c>
      <c r="K671" s="37" t="s">
        <v>22</v>
      </c>
      <c r="L671" s="32">
        <v>405303</v>
      </c>
      <c r="O671" s="1" t="s">
        <v>907</v>
      </c>
    </row>
    <row r="672" spans="1:15" x14ac:dyDescent="0.2">
      <c r="A672" s="46">
        <f t="shared" si="16"/>
        <v>1</v>
      </c>
      <c r="B672" s="27">
        <v>1</v>
      </c>
      <c r="E672" s="25" t="s">
        <v>556</v>
      </c>
      <c r="F672" s="22" t="s">
        <v>32</v>
      </c>
      <c r="G672" s="29" t="s">
        <v>1147</v>
      </c>
      <c r="H672" s="30" t="s">
        <v>557</v>
      </c>
      <c r="I672" s="84" t="s">
        <v>920</v>
      </c>
      <c r="J672" s="30"/>
      <c r="K672" s="37" t="s">
        <v>22</v>
      </c>
      <c r="L672" s="31">
        <v>405327</v>
      </c>
      <c r="O672" s="1" t="s">
        <v>907</v>
      </c>
    </row>
    <row r="673" spans="1:15" x14ac:dyDescent="0.2">
      <c r="A673" s="46"/>
      <c r="E673" s="25" t="s">
        <v>556</v>
      </c>
      <c r="F673" s="22" t="s">
        <v>1096</v>
      </c>
      <c r="G673" s="29"/>
      <c r="H673" s="20"/>
      <c r="I673" s="85" t="s">
        <v>920</v>
      </c>
      <c r="J673" s="20"/>
      <c r="K673" s="37" t="s">
        <v>484</v>
      </c>
      <c r="L673" s="32" t="s">
        <v>1095</v>
      </c>
      <c r="M673" s="2" t="s">
        <v>1102</v>
      </c>
      <c r="O673" s="1" t="s">
        <v>907</v>
      </c>
    </row>
    <row r="674" spans="1:15" x14ac:dyDescent="0.2">
      <c r="A674" s="46">
        <f t="shared" ref="A674:A709" si="17">B674+C674</f>
        <v>1</v>
      </c>
      <c r="B674" s="27">
        <v>1</v>
      </c>
      <c r="E674" s="25" t="s">
        <v>1020</v>
      </c>
      <c r="F674" s="22" t="s">
        <v>139</v>
      </c>
      <c r="G674" s="29" t="s">
        <v>1066</v>
      </c>
      <c r="H674" s="20" t="s">
        <v>993</v>
      </c>
      <c r="I674" s="85" t="s">
        <v>1028</v>
      </c>
      <c r="J674" s="20" t="s">
        <v>1029</v>
      </c>
      <c r="K674" s="37" t="s">
        <v>1022</v>
      </c>
      <c r="L674" s="32" t="s">
        <v>1033</v>
      </c>
      <c r="M674" s="2" t="s">
        <v>1003</v>
      </c>
      <c r="N674" s="1" t="s">
        <v>1031</v>
      </c>
      <c r="O674" s="1" t="s">
        <v>913</v>
      </c>
    </row>
    <row r="675" spans="1:15" x14ac:dyDescent="0.2">
      <c r="A675" s="46">
        <f t="shared" si="17"/>
        <v>1</v>
      </c>
      <c r="B675" s="27">
        <v>1</v>
      </c>
      <c r="E675" s="25" t="s">
        <v>1020</v>
      </c>
      <c r="F675" s="22" t="s">
        <v>267</v>
      </c>
      <c r="G675" s="29" t="s">
        <v>1066</v>
      </c>
      <c r="H675" s="20" t="s">
        <v>993</v>
      </c>
      <c r="I675" s="85" t="s">
        <v>1028</v>
      </c>
      <c r="J675" s="20" t="s">
        <v>1029</v>
      </c>
      <c r="K675" s="37" t="s">
        <v>1022</v>
      </c>
      <c r="L675" s="32" t="s">
        <v>1030</v>
      </c>
      <c r="M675" s="2" t="s">
        <v>1003</v>
      </c>
      <c r="N675" s="1" t="s">
        <v>1031</v>
      </c>
      <c r="O675" s="1" t="s">
        <v>1038</v>
      </c>
    </row>
    <row r="676" spans="1:15" x14ac:dyDescent="0.2">
      <c r="A676" s="46">
        <f t="shared" si="17"/>
        <v>1</v>
      </c>
      <c r="B676" s="27">
        <v>1</v>
      </c>
      <c r="E676" s="25" t="s">
        <v>1020</v>
      </c>
      <c r="F676" s="22" t="s">
        <v>267</v>
      </c>
      <c r="G676" s="29" t="s">
        <v>1070</v>
      </c>
      <c r="H676" s="20" t="s">
        <v>993</v>
      </c>
      <c r="I676" s="85" t="s">
        <v>1060</v>
      </c>
      <c r="J676" s="20" t="s">
        <v>1061</v>
      </c>
      <c r="K676" s="37" t="s">
        <v>1022</v>
      </c>
      <c r="L676" s="32" t="s">
        <v>1062</v>
      </c>
      <c r="M676" s="2" t="s">
        <v>1003</v>
      </c>
      <c r="N676" s="1" t="s">
        <v>1059</v>
      </c>
      <c r="O676" s="1" t="s">
        <v>913</v>
      </c>
    </row>
    <row r="677" spans="1:15" x14ac:dyDescent="0.2">
      <c r="A677" s="46">
        <f t="shared" si="17"/>
        <v>1</v>
      </c>
      <c r="B677" s="27">
        <v>1</v>
      </c>
      <c r="E677" s="25" t="s">
        <v>1020</v>
      </c>
      <c r="F677" s="22" t="s">
        <v>57</v>
      </c>
      <c r="G677" s="29" t="s">
        <v>1064</v>
      </c>
      <c r="H677" s="20" t="s">
        <v>993</v>
      </c>
      <c r="I677" s="85" t="s">
        <v>920</v>
      </c>
      <c r="J677" s="20" t="s">
        <v>1021</v>
      </c>
      <c r="K677" s="37" t="s">
        <v>1022</v>
      </c>
      <c r="L677" s="32" t="s">
        <v>1023</v>
      </c>
      <c r="M677" s="2" t="s">
        <v>1003</v>
      </c>
      <c r="N677" s="1" t="s">
        <v>1027</v>
      </c>
      <c r="O677" s="1" t="s">
        <v>1038</v>
      </c>
    </row>
    <row r="678" spans="1:15" x14ac:dyDescent="0.2">
      <c r="A678" s="46">
        <f t="shared" si="17"/>
        <v>1</v>
      </c>
      <c r="B678" s="27">
        <v>1</v>
      </c>
      <c r="E678" s="25" t="s">
        <v>1020</v>
      </c>
      <c r="F678" s="22" t="s">
        <v>57</v>
      </c>
      <c r="G678" s="29" t="s">
        <v>1070</v>
      </c>
      <c r="H678" s="20" t="s">
        <v>993</v>
      </c>
      <c r="I678" s="85" t="s">
        <v>1060</v>
      </c>
      <c r="J678" s="20" t="s">
        <v>1061</v>
      </c>
      <c r="K678" s="37" t="s">
        <v>1022</v>
      </c>
      <c r="L678" s="32" t="s">
        <v>1058</v>
      </c>
      <c r="M678" s="2" t="s">
        <v>1003</v>
      </c>
      <c r="N678" s="1" t="s">
        <v>1059</v>
      </c>
      <c r="O678" s="1" t="s">
        <v>913</v>
      </c>
    </row>
    <row r="679" spans="1:15" x14ac:dyDescent="0.2">
      <c r="A679" s="46">
        <f t="shared" si="17"/>
        <v>1</v>
      </c>
      <c r="B679" s="27">
        <v>1</v>
      </c>
      <c r="E679" s="25" t="s">
        <v>1020</v>
      </c>
      <c r="F679" s="22" t="s">
        <v>1034</v>
      </c>
      <c r="G679" s="29" t="s">
        <v>1067</v>
      </c>
      <c r="H679" s="20" t="s">
        <v>993</v>
      </c>
      <c r="I679" s="85" t="s">
        <v>1035</v>
      </c>
      <c r="J679" s="20" t="s">
        <v>1021</v>
      </c>
      <c r="K679" s="37" t="s">
        <v>1022</v>
      </c>
      <c r="L679" s="32" t="s">
        <v>1036</v>
      </c>
      <c r="M679" s="2" t="s">
        <v>1003</v>
      </c>
      <c r="N679" s="1" t="s">
        <v>1037</v>
      </c>
      <c r="O679" s="1" t="s">
        <v>913</v>
      </c>
    </row>
    <row r="680" spans="1:15" x14ac:dyDescent="0.2">
      <c r="A680" s="46">
        <f t="shared" si="17"/>
        <v>1</v>
      </c>
      <c r="B680" s="27">
        <v>1</v>
      </c>
      <c r="E680" s="25" t="s">
        <v>1020</v>
      </c>
      <c r="F680" s="22" t="s">
        <v>1034</v>
      </c>
      <c r="G680" s="29" t="s">
        <v>1071</v>
      </c>
      <c r="H680" s="20" t="s">
        <v>993</v>
      </c>
      <c r="I680" s="85" t="s">
        <v>1071</v>
      </c>
      <c r="J680" s="20" t="s">
        <v>1061</v>
      </c>
      <c r="K680" s="37" t="s">
        <v>1022</v>
      </c>
      <c r="L680" s="32" t="s">
        <v>1068</v>
      </c>
      <c r="M680" s="2" t="s">
        <v>1003</v>
      </c>
      <c r="N680" s="1" t="s">
        <v>1069</v>
      </c>
      <c r="O680" s="1" t="s">
        <v>913</v>
      </c>
    </row>
    <row r="681" spans="1:15" x14ac:dyDescent="0.2">
      <c r="A681" s="46">
        <f t="shared" si="17"/>
        <v>1</v>
      </c>
      <c r="B681" s="27">
        <v>1</v>
      </c>
      <c r="E681" s="25" t="s">
        <v>1024</v>
      </c>
      <c r="F681" s="22" t="s">
        <v>57</v>
      </c>
      <c r="G681" s="29" t="s">
        <v>1065</v>
      </c>
      <c r="H681" s="20" t="s">
        <v>993</v>
      </c>
      <c r="I681" s="85" t="s">
        <v>920</v>
      </c>
      <c r="J681" s="20" t="s">
        <v>1025</v>
      </c>
      <c r="K681" s="37" t="s">
        <v>1022</v>
      </c>
      <c r="L681" s="32" t="s">
        <v>1026</v>
      </c>
      <c r="M681" s="2" t="s">
        <v>1003</v>
      </c>
      <c r="N681" s="1" t="s">
        <v>1032</v>
      </c>
      <c r="O681" s="1" t="s">
        <v>913</v>
      </c>
    </row>
    <row r="682" spans="1:15" x14ac:dyDescent="0.2">
      <c r="A682" s="46">
        <f t="shared" si="17"/>
        <v>2</v>
      </c>
      <c r="B682" s="27">
        <v>1</v>
      </c>
      <c r="C682" s="27">
        <v>1</v>
      </c>
      <c r="E682" s="25" t="s">
        <v>1178</v>
      </c>
      <c r="F682" s="22" t="s">
        <v>316</v>
      </c>
      <c r="G682" s="29"/>
      <c r="H682" s="20" t="s">
        <v>1179</v>
      </c>
      <c r="I682" s="85" t="s">
        <v>920</v>
      </c>
      <c r="J682" s="20" t="s">
        <v>1177</v>
      </c>
      <c r="K682" s="37" t="s">
        <v>22</v>
      </c>
      <c r="L682" s="32">
        <v>406617</v>
      </c>
      <c r="M682" s="2"/>
      <c r="O682" s="1"/>
    </row>
    <row r="683" spans="1:15" x14ac:dyDescent="0.2">
      <c r="A683" s="46">
        <f t="shared" si="17"/>
        <v>1</v>
      </c>
      <c r="B683" s="27">
        <v>1</v>
      </c>
      <c r="E683" s="25" t="s">
        <v>558</v>
      </c>
      <c r="F683" s="22" t="s">
        <v>13</v>
      </c>
      <c r="G683" s="29" t="s">
        <v>13</v>
      </c>
      <c r="H683" s="20" t="s">
        <v>13</v>
      </c>
      <c r="I683" s="85"/>
      <c r="J683" s="20"/>
      <c r="K683" s="37" t="s">
        <v>203</v>
      </c>
      <c r="L683" s="32">
        <v>557273</v>
      </c>
      <c r="O683" s="1" t="s">
        <v>907</v>
      </c>
    </row>
    <row r="684" spans="1:15" x14ac:dyDescent="0.2">
      <c r="A684" s="46">
        <f t="shared" si="17"/>
        <v>1</v>
      </c>
      <c r="B684" s="27">
        <v>1</v>
      </c>
      <c r="E684" s="25" t="s">
        <v>1174</v>
      </c>
      <c r="F684" s="22" t="s">
        <v>267</v>
      </c>
      <c r="G684" s="29"/>
      <c r="H684" s="30" t="s">
        <v>1176</v>
      </c>
      <c r="I684" s="84" t="s">
        <v>920</v>
      </c>
      <c r="J684" s="30" t="s">
        <v>1177</v>
      </c>
      <c r="K684" s="37" t="s">
        <v>22</v>
      </c>
      <c r="L684" s="31">
        <v>407119</v>
      </c>
      <c r="O684" s="1"/>
    </row>
    <row r="685" spans="1:15" x14ac:dyDescent="0.2">
      <c r="A685" s="46">
        <f t="shared" si="17"/>
        <v>1</v>
      </c>
      <c r="B685" s="27">
        <v>1</v>
      </c>
      <c r="E685" s="25" t="s">
        <v>1174</v>
      </c>
      <c r="F685" s="22" t="s">
        <v>323</v>
      </c>
      <c r="G685" s="29" t="s">
        <v>1175</v>
      </c>
      <c r="H685" s="30" t="s">
        <v>1176</v>
      </c>
      <c r="I685" s="84" t="s">
        <v>920</v>
      </c>
      <c r="J685" s="30" t="s">
        <v>1177</v>
      </c>
      <c r="K685" s="37" t="s">
        <v>22</v>
      </c>
      <c r="L685" s="31">
        <v>407123</v>
      </c>
      <c r="O685" s="1"/>
    </row>
    <row r="686" spans="1:15" x14ac:dyDescent="0.2">
      <c r="A686" s="46">
        <f t="shared" si="17"/>
        <v>2</v>
      </c>
      <c r="B686" s="27">
        <v>1</v>
      </c>
      <c r="C686" s="27">
        <v>1</v>
      </c>
      <c r="E686" s="25" t="s">
        <v>1148</v>
      </c>
      <c r="F686" s="22" t="s">
        <v>139</v>
      </c>
      <c r="G686" s="29" t="s">
        <v>1149</v>
      </c>
      <c r="H686" s="30" t="s">
        <v>1150</v>
      </c>
      <c r="I686" s="84" t="s">
        <v>920</v>
      </c>
      <c r="J686" s="30" t="s">
        <v>1151</v>
      </c>
      <c r="K686" s="37" t="s">
        <v>22</v>
      </c>
      <c r="L686" s="31">
        <v>406717</v>
      </c>
      <c r="O686" s="1" t="s">
        <v>907</v>
      </c>
    </row>
    <row r="687" spans="1:15" x14ac:dyDescent="0.2">
      <c r="A687" s="46">
        <f t="shared" si="17"/>
        <v>2</v>
      </c>
      <c r="B687" s="27">
        <v>1</v>
      </c>
      <c r="C687" s="27">
        <v>1</v>
      </c>
      <c r="E687" s="25" t="s">
        <v>1148</v>
      </c>
      <c r="F687" s="22" t="s">
        <v>57</v>
      </c>
      <c r="G687" s="29" t="s">
        <v>1149</v>
      </c>
      <c r="H687" s="30" t="s">
        <v>1150</v>
      </c>
      <c r="I687" s="84" t="s">
        <v>920</v>
      </c>
      <c r="J687" s="30" t="s">
        <v>1151</v>
      </c>
      <c r="K687" s="37" t="s">
        <v>22</v>
      </c>
      <c r="L687" s="31">
        <v>406715</v>
      </c>
      <c r="O687" s="1" t="s">
        <v>907</v>
      </c>
    </row>
    <row r="688" spans="1:15" x14ac:dyDescent="0.2">
      <c r="A688" s="46">
        <f t="shared" si="17"/>
        <v>1</v>
      </c>
      <c r="B688" s="27">
        <v>1</v>
      </c>
      <c r="E688" s="25" t="s">
        <v>1148</v>
      </c>
      <c r="F688" s="22" t="s">
        <v>124</v>
      </c>
      <c r="G688" s="29" t="s">
        <v>1149</v>
      </c>
      <c r="H688" s="30" t="s">
        <v>1150</v>
      </c>
      <c r="I688" s="84" t="s">
        <v>920</v>
      </c>
      <c r="J688" s="30" t="s">
        <v>1151</v>
      </c>
      <c r="K688" s="37" t="s">
        <v>22</v>
      </c>
      <c r="L688" s="31">
        <v>406713</v>
      </c>
      <c r="O688" s="1" t="s">
        <v>907</v>
      </c>
    </row>
    <row r="689" spans="1:15" x14ac:dyDescent="0.2">
      <c r="A689" s="46">
        <f t="shared" si="17"/>
        <v>1</v>
      </c>
      <c r="B689" s="27">
        <v>1</v>
      </c>
      <c r="E689" s="25" t="s">
        <v>1185</v>
      </c>
      <c r="F689" s="22" t="s">
        <v>27</v>
      </c>
      <c r="G689" s="29"/>
      <c r="H689" s="30" t="s">
        <v>1186</v>
      </c>
      <c r="I689" s="84" t="s">
        <v>920</v>
      </c>
      <c r="J689" s="30" t="s">
        <v>1177</v>
      </c>
      <c r="K689" s="37" t="s">
        <v>22</v>
      </c>
      <c r="L689" s="117">
        <v>406803</v>
      </c>
      <c r="O689" s="1"/>
    </row>
    <row r="690" spans="1:15" x14ac:dyDescent="0.2">
      <c r="A690" s="46">
        <f t="shared" si="17"/>
        <v>1</v>
      </c>
      <c r="B690" s="27">
        <v>1</v>
      </c>
      <c r="E690" s="25" t="s">
        <v>559</v>
      </c>
      <c r="F690" s="22" t="s">
        <v>33</v>
      </c>
      <c r="G690" s="29" t="s">
        <v>13</v>
      </c>
      <c r="H690" s="30">
        <v>187.1</v>
      </c>
      <c r="I690" s="84"/>
      <c r="J690" s="30"/>
      <c r="K690" s="37" t="s">
        <v>31</v>
      </c>
      <c r="L690" s="31">
        <v>559940</v>
      </c>
      <c r="O690" s="1" t="s">
        <v>907</v>
      </c>
    </row>
    <row r="691" spans="1:15" x14ac:dyDescent="0.2">
      <c r="A691" s="46">
        <f t="shared" si="17"/>
        <v>2</v>
      </c>
      <c r="B691" s="27">
        <v>1</v>
      </c>
      <c r="C691" s="27">
        <v>1</v>
      </c>
      <c r="E691" s="25" t="s">
        <v>560</v>
      </c>
      <c r="F691" s="22" t="s">
        <v>316</v>
      </c>
      <c r="G691" s="29" t="s">
        <v>13</v>
      </c>
      <c r="H691" s="20" t="s">
        <v>561</v>
      </c>
      <c r="I691" s="85"/>
      <c r="J691" s="20" t="s">
        <v>914</v>
      </c>
      <c r="K691" s="37" t="s">
        <v>22</v>
      </c>
      <c r="L691" s="32">
        <v>406526</v>
      </c>
      <c r="N691" s="1" t="s">
        <v>1042</v>
      </c>
      <c r="O691" s="1" t="s">
        <v>908</v>
      </c>
    </row>
    <row r="692" spans="1:15" x14ac:dyDescent="0.2">
      <c r="A692" s="46">
        <f t="shared" si="17"/>
        <v>2</v>
      </c>
      <c r="B692" s="27">
        <v>1</v>
      </c>
      <c r="C692" s="27">
        <v>1</v>
      </c>
      <c r="E692" s="25" t="s">
        <v>560</v>
      </c>
      <c r="F692" s="22" t="s">
        <v>316</v>
      </c>
      <c r="G692" s="29" t="s">
        <v>13</v>
      </c>
      <c r="H692" s="20" t="s">
        <v>13</v>
      </c>
      <c r="I692" s="85"/>
      <c r="J692" s="20"/>
      <c r="K692" s="37" t="s">
        <v>17</v>
      </c>
      <c r="L692" s="32" t="s">
        <v>13</v>
      </c>
      <c r="O692" s="1" t="s">
        <v>907</v>
      </c>
    </row>
    <row r="693" spans="1:15" x14ac:dyDescent="0.2">
      <c r="A693" s="46">
        <f t="shared" si="17"/>
        <v>0</v>
      </c>
      <c r="B693" s="27">
        <v>0</v>
      </c>
      <c r="E693" s="25" t="s">
        <v>560</v>
      </c>
      <c r="F693" s="22" t="s">
        <v>313</v>
      </c>
      <c r="G693" s="29" t="s">
        <v>13</v>
      </c>
      <c r="H693" s="20" t="s">
        <v>13</v>
      </c>
      <c r="I693" s="85"/>
      <c r="J693" s="20"/>
      <c r="K693" s="37" t="s">
        <v>17</v>
      </c>
      <c r="L693" s="32" t="s">
        <v>13</v>
      </c>
      <c r="O693" s="1" t="s">
        <v>907</v>
      </c>
    </row>
    <row r="694" spans="1:15" x14ac:dyDescent="0.2">
      <c r="A694" s="46">
        <f t="shared" si="17"/>
        <v>2</v>
      </c>
      <c r="B694" s="27">
        <v>1</v>
      </c>
      <c r="C694" s="27">
        <v>1</v>
      </c>
      <c r="E694" s="25" t="s">
        <v>560</v>
      </c>
      <c r="F694" s="22" t="s">
        <v>27</v>
      </c>
      <c r="G694" s="29" t="s">
        <v>13</v>
      </c>
      <c r="H694" s="20" t="s">
        <v>563</v>
      </c>
      <c r="I694" s="85"/>
      <c r="J694" s="20"/>
      <c r="K694" s="37" t="s">
        <v>17</v>
      </c>
      <c r="L694" s="32" t="s">
        <v>13</v>
      </c>
      <c r="O694" s="1" t="s">
        <v>907</v>
      </c>
    </row>
    <row r="695" spans="1:15" x14ac:dyDescent="0.2">
      <c r="A695" s="46">
        <f t="shared" si="17"/>
        <v>2</v>
      </c>
      <c r="B695" s="27">
        <v>1</v>
      </c>
      <c r="C695" s="27">
        <v>1</v>
      </c>
      <c r="E695" s="25" t="s">
        <v>560</v>
      </c>
      <c r="F695" s="22" t="s">
        <v>148</v>
      </c>
      <c r="G695" s="29" t="s">
        <v>13</v>
      </c>
      <c r="H695" s="20" t="s">
        <v>561</v>
      </c>
      <c r="I695" s="85" t="s">
        <v>920</v>
      </c>
      <c r="J695" s="20" t="s">
        <v>923</v>
      </c>
      <c r="K695" s="37" t="s">
        <v>22</v>
      </c>
      <c r="L695" s="32">
        <v>406531</v>
      </c>
      <c r="O695" s="1" t="s">
        <v>907</v>
      </c>
    </row>
    <row r="696" spans="1:15" x14ac:dyDescent="0.2">
      <c r="A696" s="46">
        <f t="shared" si="17"/>
        <v>1</v>
      </c>
      <c r="B696" s="27">
        <v>1</v>
      </c>
      <c r="E696" s="25" t="s">
        <v>560</v>
      </c>
      <c r="F696" s="22" t="s">
        <v>96</v>
      </c>
      <c r="G696" s="29" t="s">
        <v>13</v>
      </c>
      <c r="H696" s="20" t="s">
        <v>13</v>
      </c>
      <c r="I696" s="85"/>
      <c r="J696" s="20"/>
      <c r="K696" s="37" t="s">
        <v>17</v>
      </c>
      <c r="L696" s="32" t="s">
        <v>13</v>
      </c>
      <c r="O696" s="1" t="s">
        <v>907</v>
      </c>
    </row>
    <row r="697" spans="1:15" x14ac:dyDescent="0.2">
      <c r="A697" s="46">
        <f t="shared" si="17"/>
        <v>1</v>
      </c>
      <c r="B697" s="27">
        <v>1</v>
      </c>
      <c r="E697" s="25" t="s">
        <v>560</v>
      </c>
      <c r="F697" s="22" t="s">
        <v>33</v>
      </c>
      <c r="G697" s="29" t="s">
        <v>13</v>
      </c>
      <c r="H697" s="20" t="s">
        <v>561</v>
      </c>
      <c r="I697" s="85" t="s">
        <v>920</v>
      </c>
      <c r="J697" s="20" t="s">
        <v>923</v>
      </c>
      <c r="K697" s="37" t="s">
        <v>22</v>
      </c>
      <c r="L697" s="32">
        <v>406507</v>
      </c>
      <c r="O697" s="1" t="s">
        <v>907</v>
      </c>
    </row>
    <row r="698" spans="1:15" x14ac:dyDescent="0.2">
      <c r="A698" s="46">
        <f t="shared" si="17"/>
        <v>3</v>
      </c>
      <c r="B698" s="27">
        <v>1</v>
      </c>
      <c r="C698" s="27">
        <v>2</v>
      </c>
      <c r="E698" s="25" t="s">
        <v>560</v>
      </c>
      <c r="F698" s="22" t="s">
        <v>124</v>
      </c>
      <c r="G698" s="29" t="s">
        <v>13</v>
      </c>
      <c r="H698" s="20" t="s">
        <v>561</v>
      </c>
      <c r="I698" s="85"/>
      <c r="J698" s="20"/>
      <c r="K698" s="37" t="s">
        <v>22</v>
      </c>
      <c r="L698" s="32">
        <v>406514</v>
      </c>
      <c r="O698" s="1" t="s">
        <v>907</v>
      </c>
    </row>
    <row r="699" spans="1:15" x14ac:dyDescent="0.2">
      <c r="A699" s="46">
        <f t="shared" si="17"/>
        <v>1</v>
      </c>
      <c r="B699" s="27">
        <v>1</v>
      </c>
      <c r="E699" s="25" t="s">
        <v>560</v>
      </c>
      <c r="F699" s="22" t="s">
        <v>562</v>
      </c>
      <c r="G699" s="29"/>
      <c r="H699" s="30"/>
      <c r="I699" s="84"/>
      <c r="J699" s="30"/>
      <c r="K699" s="37" t="s">
        <v>14</v>
      </c>
      <c r="L699" s="31"/>
      <c r="O699" s="1" t="s">
        <v>907</v>
      </c>
    </row>
    <row r="700" spans="1:15" x14ac:dyDescent="0.2">
      <c r="A700" s="46">
        <f t="shared" si="17"/>
        <v>4</v>
      </c>
      <c r="B700" s="27">
        <v>1</v>
      </c>
      <c r="C700" s="27">
        <v>3</v>
      </c>
      <c r="E700" s="25" t="s">
        <v>564</v>
      </c>
      <c r="F700" s="22" t="s">
        <v>24</v>
      </c>
      <c r="G700" s="29" t="s">
        <v>13</v>
      </c>
      <c r="H700" s="20" t="s">
        <v>13</v>
      </c>
      <c r="I700" s="85"/>
      <c r="J700" s="20"/>
      <c r="K700" s="37" t="s">
        <v>565</v>
      </c>
      <c r="L700" s="32" t="s">
        <v>13</v>
      </c>
      <c r="O700" s="1" t="s">
        <v>907</v>
      </c>
    </row>
    <row r="701" spans="1:15" x14ac:dyDescent="0.2">
      <c r="A701" s="46">
        <f t="shared" si="17"/>
        <v>0</v>
      </c>
      <c r="E701" s="25" t="s">
        <v>564</v>
      </c>
      <c r="F701" s="22" t="s">
        <v>42</v>
      </c>
      <c r="G701" s="29" t="s">
        <v>13</v>
      </c>
      <c r="H701" s="20" t="s">
        <v>13</v>
      </c>
      <c r="I701" s="85"/>
      <c r="J701" s="20"/>
      <c r="K701" s="37" t="s">
        <v>565</v>
      </c>
      <c r="L701" s="32" t="s">
        <v>13</v>
      </c>
      <c r="N701" s="1" t="s">
        <v>885</v>
      </c>
      <c r="O701" s="1" t="s">
        <v>907</v>
      </c>
    </row>
    <row r="702" spans="1:15" x14ac:dyDescent="0.2">
      <c r="A702" s="46">
        <f t="shared" si="17"/>
        <v>0</v>
      </c>
      <c r="E702" s="25" t="s">
        <v>564</v>
      </c>
      <c r="F702" s="22" t="s">
        <v>30</v>
      </c>
      <c r="G702" s="29" t="s">
        <v>13</v>
      </c>
      <c r="H702" s="20" t="s">
        <v>13</v>
      </c>
      <c r="I702" s="85"/>
      <c r="J702" s="20"/>
      <c r="K702" s="37" t="s">
        <v>565</v>
      </c>
      <c r="L702" s="32" t="s">
        <v>13</v>
      </c>
      <c r="O702" s="1" t="s">
        <v>907</v>
      </c>
    </row>
    <row r="703" spans="1:15" x14ac:dyDescent="0.2">
      <c r="A703" s="46">
        <f t="shared" si="17"/>
        <v>0</v>
      </c>
      <c r="D703" s="27">
        <v>1</v>
      </c>
      <c r="E703" s="25" t="s">
        <v>564</v>
      </c>
      <c r="F703" s="22" t="s">
        <v>96</v>
      </c>
      <c r="G703" s="29" t="s">
        <v>13</v>
      </c>
      <c r="H703" s="20" t="s">
        <v>13</v>
      </c>
      <c r="I703" s="85"/>
      <c r="J703" s="20"/>
      <c r="K703" s="37" t="s">
        <v>565</v>
      </c>
      <c r="L703" s="32" t="s">
        <v>13</v>
      </c>
      <c r="O703" s="1" t="s">
        <v>907</v>
      </c>
    </row>
    <row r="704" spans="1:15" x14ac:dyDescent="0.2">
      <c r="A704" s="46">
        <f t="shared" si="17"/>
        <v>0</v>
      </c>
      <c r="E704" s="25" t="s">
        <v>564</v>
      </c>
      <c r="F704" s="22" t="s">
        <v>33</v>
      </c>
      <c r="G704" s="29" t="s">
        <v>13</v>
      </c>
      <c r="H704" s="20" t="s">
        <v>13</v>
      </c>
      <c r="I704" s="85"/>
      <c r="J704" s="20"/>
      <c r="K704" s="37" t="s">
        <v>565</v>
      </c>
      <c r="L704" s="32" t="s">
        <v>13</v>
      </c>
      <c r="O704" s="1" t="s">
        <v>907</v>
      </c>
    </row>
    <row r="705" spans="1:15" x14ac:dyDescent="0.2">
      <c r="A705" s="46">
        <f t="shared" si="17"/>
        <v>0</v>
      </c>
      <c r="E705" s="25" t="s">
        <v>564</v>
      </c>
      <c r="F705" s="22" t="s">
        <v>106</v>
      </c>
      <c r="G705" s="29" t="s">
        <v>13</v>
      </c>
      <c r="H705" s="20" t="s">
        <v>13</v>
      </c>
      <c r="I705" s="85"/>
      <c r="J705" s="20"/>
      <c r="K705" s="37" t="s">
        <v>565</v>
      </c>
      <c r="L705" s="32" t="s">
        <v>13</v>
      </c>
      <c r="O705" s="1" t="s">
        <v>907</v>
      </c>
    </row>
    <row r="706" spans="1:15" x14ac:dyDescent="0.2">
      <c r="A706" s="46">
        <f t="shared" si="17"/>
        <v>1</v>
      </c>
      <c r="B706" s="27">
        <v>1</v>
      </c>
      <c r="E706" s="25" t="s">
        <v>566</v>
      </c>
      <c r="F706" s="22" t="s">
        <v>177</v>
      </c>
      <c r="G706" s="29"/>
      <c r="H706" s="20" t="s">
        <v>567</v>
      </c>
      <c r="I706" s="85"/>
      <c r="J706" s="20"/>
      <c r="K706" s="37" t="s">
        <v>22</v>
      </c>
      <c r="L706" s="32">
        <v>505034</v>
      </c>
      <c r="O706" s="1"/>
    </row>
    <row r="707" spans="1:15" x14ac:dyDescent="0.2">
      <c r="A707" s="46">
        <f t="shared" si="17"/>
        <v>1</v>
      </c>
      <c r="B707" s="27">
        <v>1</v>
      </c>
      <c r="E707" s="25" t="s">
        <v>566</v>
      </c>
      <c r="F707" s="22" t="s">
        <v>90</v>
      </c>
      <c r="G707" s="29" t="s">
        <v>13</v>
      </c>
      <c r="H707" s="20" t="s">
        <v>567</v>
      </c>
      <c r="I707" s="85"/>
      <c r="J707" s="20"/>
      <c r="K707" s="37" t="s">
        <v>22</v>
      </c>
      <c r="L707" s="32">
        <v>505028</v>
      </c>
      <c r="O707" s="1" t="s">
        <v>907</v>
      </c>
    </row>
    <row r="708" spans="1:15" x14ac:dyDescent="0.2">
      <c r="A708" s="46">
        <f t="shared" si="17"/>
        <v>1</v>
      </c>
      <c r="B708" s="27">
        <v>1</v>
      </c>
      <c r="E708" s="25" t="s">
        <v>568</v>
      </c>
      <c r="F708" s="22" t="s">
        <v>33</v>
      </c>
      <c r="G708" s="29"/>
      <c r="H708" s="30"/>
      <c r="I708" s="84"/>
      <c r="J708" s="30"/>
      <c r="K708" s="37" t="s">
        <v>31</v>
      </c>
      <c r="L708" s="31">
        <v>559502</v>
      </c>
      <c r="O708" s="1" t="s">
        <v>907</v>
      </c>
    </row>
    <row r="709" spans="1:15" x14ac:dyDescent="0.2">
      <c r="A709" s="46">
        <f t="shared" si="17"/>
        <v>1</v>
      </c>
      <c r="B709" s="27">
        <v>1</v>
      </c>
      <c r="E709" s="25" t="s">
        <v>571</v>
      </c>
      <c r="F709" s="22" t="s">
        <v>24</v>
      </c>
      <c r="G709" s="29" t="s">
        <v>573</v>
      </c>
      <c r="H709" s="30" t="s">
        <v>574</v>
      </c>
      <c r="I709" s="84"/>
      <c r="J709" s="30"/>
      <c r="K709" s="37" t="s">
        <v>575</v>
      </c>
      <c r="L709" s="31" t="s">
        <v>577</v>
      </c>
      <c r="O709" s="1" t="s">
        <v>907</v>
      </c>
    </row>
    <row r="710" spans="1:15" x14ac:dyDescent="0.2">
      <c r="A710" s="46">
        <v>2</v>
      </c>
      <c r="B710" s="27">
        <v>1</v>
      </c>
      <c r="C710" s="27">
        <v>1</v>
      </c>
      <c r="E710" s="25" t="s">
        <v>571</v>
      </c>
      <c r="F710" s="22" t="s">
        <v>871</v>
      </c>
      <c r="G710" s="29"/>
      <c r="H710" s="30" t="s">
        <v>1231</v>
      </c>
      <c r="I710" s="84" t="s">
        <v>920</v>
      </c>
      <c r="J710" s="30"/>
      <c r="K710" s="37" t="s">
        <v>484</v>
      </c>
      <c r="L710" s="31" t="s">
        <v>1232</v>
      </c>
      <c r="O710" s="1"/>
    </row>
    <row r="711" spans="1:15" x14ac:dyDescent="0.2">
      <c r="A711" s="46">
        <f t="shared" ref="A711:A742" si="18">B711+C711</f>
        <v>3</v>
      </c>
      <c r="B711" s="27">
        <v>1</v>
      </c>
      <c r="C711" s="27">
        <v>2</v>
      </c>
      <c r="E711" s="25" t="s">
        <v>570</v>
      </c>
      <c r="F711" s="22" t="s">
        <v>469</v>
      </c>
      <c r="G711" s="29"/>
      <c r="H711" s="30" t="s">
        <v>569</v>
      </c>
      <c r="I711" s="84" t="s">
        <v>920</v>
      </c>
      <c r="J711" s="30" t="s">
        <v>1151</v>
      </c>
      <c r="K711" s="37" t="s">
        <v>22</v>
      </c>
      <c r="L711" s="31">
        <v>506926</v>
      </c>
      <c r="O711" s="1" t="s">
        <v>907</v>
      </c>
    </row>
    <row r="712" spans="1:15" x14ac:dyDescent="0.2">
      <c r="A712" s="46">
        <f t="shared" si="18"/>
        <v>2</v>
      </c>
      <c r="B712" s="27">
        <v>1</v>
      </c>
      <c r="C712" s="27">
        <v>1</v>
      </c>
      <c r="E712" s="25" t="s">
        <v>571</v>
      </c>
      <c r="F712" s="22" t="s">
        <v>572</v>
      </c>
      <c r="G712" s="29" t="s">
        <v>573</v>
      </c>
      <c r="H712" s="30" t="s">
        <v>574</v>
      </c>
      <c r="I712" s="84"/>
      <c r="J712" s="30"/>
      <c r="K712" s="37" t="s">
        <v>575</v>
      </c>
      <c r="L712" s="31" t="s">
        <v>576</v>
      </c>
      <c r="N712" s="1" t="s">
        <v>888</v>
      </c>
      <c r="O712" s="1" t="s">
        <v>907</v>
      </c>
    </row>
    <row r="713" spans="1:15" x14ac:dyDescent="0.2">
      <c r="A713" s="46">
        <f t="shared" si="18"/>
        <v>2</v>
      </c>
      <c r="B713" s="27">
        <v>1</v>
      </c>
      <c r="C713" s="27">
        <v>1</v>
      </c>
      <c r="E713" s="25" t="s">
        <v>570</v>
      </c>
      <c r="F713" s="22" t="s">
        <v>33</v>
      </c>
      <c r="G713" s="29"/>
      <c r="H713" s="30"/>
      <c r="I713" s="84"/>
      <c r="J713" s="30"/>
      <c r="K713" s="37" t="s">
        <v>31</v>
      </c>
      <c r="L713" s="31">
        <v>559502</v>
      </c>
      <c r="O713" s="1" t="s">
        <v>907</v>
      </c>
    </row>
    <row r="714" spans="1:15" x14ac:dyDescent="0.2">
      <c r="A714" s="46">
        <f t="shared" si="18"/>
        <v>1</v>
      </c>
      <c r="B714" s="27">
        <v>1</v>
      </c>
      <c r="E714" s="25" t="s">
        <v>578</v>
      </c>
      <c r="F714" s="22" t="s">
        <v>24</v>
      </c>
      <c r="G714" s="29" t="s">
        <v>579</v>
      </c>
      <c r="H714" s="30"/>
      <c r="I714" s="84"/>
      <c r="J714" s="30"/>
      <c r="K714" s="37" t="s">
        <v>20</v>
      </c>
      <c r="L714" s="31"/>
      <c r="O714" s="1" t="s">
        <v>907</v>
      </c>
    </row>
    <row r="715" spans="1:15" x14ac:dyDescent="0.2">
      <c r="A715" s="46">
        <f t="shared" si="18"/>
        <v>1</v>
      </c>
      <c r="B715" s="27">
        <v>1</v>
      </c>
      <c r="E715" s="25" t="s">
        <v>578</v>
      </c>
      <c r="F715" s="22" t="s">
        <v>26</v>
      </c>
      <c r="G715" s="29" t="s">
        <v>579</v>
      </c>
      <c r="H715" s="30"/>
      <c r="I715" s="84"/>
      <c r="J715" s="30"/>
      <c r="K715" s="37" t="s">
        <v>17</v>
      </c>
      <c r="L715" s="31"/>
      <c r="O715" s="1" t="s">
        <v>907</v>
      </c>
    </row>
    <row r="716" spans="1:15" x14ac:dyDescent="0.2">
      <c r="A716" s="46">
        <f t="shared" si="18"/>
        <v>1</v>
      </c>
      <c r="B716" s="27">
        <v>1</v>
      </c>
      <c r="E716" s="25" t="s">
        <v>578</v>
      </c>
      <c r="F716" s="22" t="s">
        <v>12</v>
      </c>
      <c r="G716" s="29" t="s">
        <v>579</v>
      </c>
      <c r="H716" s="30"/>
      <c r="I716" s="84"/>
      <c r="J716" s="30"/>
      <c r="K716" s="37" t="s">
        <v>20</v>
      </c>
      <c r="L716" s="31"/>
      <c r="O716" s="1" t="s">
        <v>907</v>
      </c>
    </row>
    <row r="717" spans="1:15" x14ac:dyDescent="0.2">
      <c r="A717" s="46">
        <f t="shared" si="18"/>
        <v>1</v>
      </c>
      <c r="B717" s="27">
        <v>1</v>
      </c>
      <c r="E717" s="25" t="s">
        <v>578</v>
      </c>
      <c r="F717" s="22" t="s">
        <v>33</v>
      </c>
      <c r="G717" s="29" t="s">
        <v>579</v>
      </c>
      <c r="H717" s="30" t="s">
        <v>580</v>
      </c>
      <c r="I717" s="84"/>
      <c r="J717" s="30"/>
      <c r="K717" s="37" t="s">
        <v>48</v>
      </c>
      <c r="L717" s="31" t="s">
        <v>581</v>
      </c>
      <c r="O717" s="1" t="s">
        <v>907</v>
      </c>
    </row>
    <row r="718" spans="1:15" x14ac:dyDescent="0.2">
      <c r="A718" s="46">
        <f t="shared" si="18"/>
        <v>1</v>
      </c>
      <c r="B718" s="27">
        <v>1</v>
      </c>
      <c r="E718" s="25" t="s">
        <v>578</v>
      </c>
      <c r="F718" s="22" t="s">
        <v>33</v>
      </c>
      <c r="G718" s="29" t="s">
        <v>579</v>
      </c>
      <c r="H718" s="30"/>
      <c r="I718" s="84"/>
      <c r="J718" s="30"/>
      <c r="K718" s="37" t="s">
        <v>31</v>
      </c>
      <c r="L718" s="31">
        <v>554428</v>
      </c>
      <c r="O718" s="1" t="s">
        <v>907</v>
      </c>
    </row>
    <row r="719" spans="1:15" x14ac:dyDescent="0.2">
      <c r="A719" s="46">
        <f t="shared" si="18"/>
        <v>1</v>
      </c>
      <c r="B719" s="27">
        <v>1</v>
      </c>
      <c r="E719" s="25" t="s">
        <v>582</v>
      </c>
      <c r="F719" s="22" t="s">
        <v>24</v>
      </c>
      <c r="G719" s="29"/>
      <c r="H719" s="30"/>
      <c r="I719" s="84"/>
      <c r="J719" s="30"/>
      <c r="K719" s="37" t="s">
        <v>20</v>
      </c>
      <c r="L719" s="31"/>
      <c r="O719" s="1" t="s">
        <v>907</v>
      </c>
    </row>
    <row r="720" spans="1:15" x14ac:dyDescent="0.2">
      <c r="A720" s="46">
        <f t="shared" si="18"/>
        <v>1</v>
      </c>
      <c r="B720" s="27">
        <v>1</v>
      </c>
      <c r="E720" s="25" t="s">
        <v>582</v>
      </c>
      <c r="F720" s="22" t="s">
        <v>26</v>
      </c>
      <c r="G720" s="29" t="s">
        <v>582</v>
      </c>
      <c r="H720" s="30"/>
      <c r="I720" s="84"/>
      <c r="J720" s="30"/>
      <c r="K720" s="37" t="s">
        <v>17</v>
      </c>
      <c r="L720" s="31"/>
      <c r="O720" s="1" t="s">
        <v>907</v>
      </c>
    </row>
    <row r="721" spans="1:15" x14ac:dyDescent="0.2">
      <c r="A721" s="46">
        <f t="shared" si="18"/>
        <v>1</v>
      </c>
      <c r="B721" s="27">
        <v>1</v>
      </c>
      <c r="C721" s="27">
        <v>0</v>
      </c>
      <c r="E721" s="25" t="s">
        <v>582</v>
      </c>
      <c r="F721" s="22" t="s">
        <v>42</v>
      </c>
      <c r="G721" s="29"/>
      <c r="H721" s="30" t="s">
        <v>583</v>
      </c>
      <c r="I721" s="84" t="s">
        <v>920</v>
      </c>
      <c r="J721" s="30"/>
      <c r="K721" s="37" t="s">
        <v>484</v>
      </c>
      <c r="L721" s="31" t="s">
        <v>1238</v>
      </c>
      <c r="O721" s="1"/>
    </row>
    <row r="722" spans="1:15" x14ac:dyDescent="0.2">
      <c r="A722" s="46">
        <f t="shared" si="18"/>
        <v>1</v>
      </c>
      <c r="B722" s="27">
        <v>1</v>
      </c>
      <c r="E722" s="25" t="s">
        <v>582</v>
      </c>
      <c r="F722" s="22" t="s">
        <v>12</v>
      </c>
      <c r="G722" s="29" t="s">
        <v>582</v>
      </c>
      <c r="H722" s="30"/>
      <c r="I722" s="84"/>
      <c r="J722" s="30"/>
      <c r="K722" s="37" t="s">
        <v>14</v>
      </c>
      <c r="L722" s="31"/>
      <c r="O722" s="1" t="s">
        <v>907</v>
      </c>
    </row>
    <row r="723" spans="1:15" x14ac:dyDescent="0.2">
      <c r="A723" s="46">
        <f t="shared" si="18"/>
        <v>1</v>
      </c>
      <c r="B723" s="27">
        <v>1</v>
      </c>
      <c r="E723" s="25" t="s">
        <v>582</v>
      </c>
      <c r="F723" s="22" t="s">
        <v>30</v>
      </c>
      <c r="G723" s="29"/>
      <c r="H723" s="30" t="s">
        <v>583</v>
      </c>
      <c r="I723" s="84"/>
      <c r="J723" s="30"/>
      <c r="K723" s="37" t="s">
        <v>31</v>
      </c>
      <c r="L723" s="31">
        <v>557728</v>
      </c>
      <c r="O723" s="1" t="s">
        <v>907</v>
      </c>
    </row>
    <row r="724" spans="1:15" x14ac:dyDescent="0.2">
      <c r="A724" s="46">
        <f t="shared" si="18"/>
        <v>3</v>
      </c>
      <c r="B724" s="27">
        <v>1</v>
      </c>
      <c r="C724" s="27">
        <v>2</v>
      </c>
      <c r="E724" s="25" t="s">
        <v>582</v>
      </c>
      <c r="F724" s="22" t="s">
        <v>33</v>
      </c>
      <c r="G724" s="29" t="s">
        <v>584</v>
      </c>
      <c r="H724" s="30" t="s">
        <v>583</v>
      </c>
      <c r="I724" s="84"/>
      <c r="J724" s="30"/>
      <c r="K724" s="37" t="s">
        <v>39</v>
      </c>
      <c r="L724" s="31">
        <v>554435</v>
      </c>
      <c r="O724" s="1" t="s">
        <v>907</v>
      </c>
    </row>
    <row r="725" spans="1:15" x14ac:dyDescent="0.2">
      <c r="A725" s="46">
        <f t="shared" si="18"/>
        <v>3</v>
      </c>
      <c r="B725" s="27">
        <v>1</v>
      </c>
      <c r="C725" s="27">
        <v>2</v>
      </c>
      <c r="E725" s="25" t="s">
        <v>582</v>
      </c>
      <c r="F725" s="22" t="s">
        <v>70</v>
      </c>
      <c r="G725" s="29" t="s">
        <v>13</v>
      </c>
      <c r="H725" s="20" t="s">
        <v>583</v>
      </c>
      <c r="I725" s="85"/>
      <c r="J725" s="20"/>
      <c r="K725" s="37" t="s">
        <v>22</v>
      </c>
      <c r="L725" s="32">
        <v>504117</v>
      </c>
      <c r="O725" s="1" t="s">
        <v>907</v>
      </c>
    </row>
    <row r="726" spans="1:15" x14ac:dyDescent="0.2">
      <c r="A726" s="46">
        <f t="shared" si="18"/>
        <v>1</v>
      </c>
      <c r="B726" s="27">
        <v>1</v>
      </c>
      <c r="E726" s="25" t="s">
        <v>582</v>
      </c>
      <c r="F726" s="22" t="s">
        <v>70</v>
      </c>
      <c r="G726" s="29"/>
      <c r="H726" s="30" t="s">
        <v>590</v>
      </c>
      <c r="I726" s="84"/>
      <c r="J726" s="30"/>
      <c r="K726" s="37" t="s">
        <v>591</v>
      </c>
      <c r="L726" s="31" t="s">
        <v>592</v>
      </c>
      <c r="O726" s="1" t="s">
        <v>907</v>
      </c>
    </row>
    <row r="727" spans="1:15" x14ac:dyDescent="0.2">
      <c r="A727" s="46">
        <f t="shared" si="18"/>
        <v>1</v>
      </c>
      <c r="B727" s="27">
        <v>1</v>
      </c>
      <c r="E727" s="25" t="s">
        <v>582</v>
      </c>
      <c r="F727" s="22" t="s">
        <v>978</v>
      </c>
      <c r="G727" s="29"/>
      <c r="H727" s="30"/>
      <c r="I727" s="84"/>
      <c r="J727" s="30"/>
      <c r="K727" s="37" t="s">
        <v>22</v>
      </c>
      <c r="L727" s="31">
        <v>504122</v>
      </c>
      <c r="O727" s="1" t="s">
        <v>907</v>
      </c>
    </row>
    <row r="728" spans="1:15" x14ac:dyDescent="0.2">
      <c r="A728" s="46">
        <f t="shared" si="18"/>
        <v>1</v>
      </c>
      <c r="B728" s="27">
        <v>1</v>
      </c>
      <c r="E728" s="25" t="s">
        <v>585</v>
      </c>
      <c r="F728" s="22" t="s">
        <v>978</v>
      </c>
      <c r="G728" s="29"/>
      <c r="H728" s="30"/>
      <c r="I728" s="84"/>
      <c r="J728" s="30"/>
      <c r="K728" s="37" t="s">
        <v>22</v>
      </c>
      <c r="L728" s="31">
        <v>505308</v>
      </c>
      <c r="O728" s="1" t="s">
        <v>907</v>
      </c>
    </row>
    <row r="729" spans="1:15" x14ac:dyDescent="0.2">
      <c r="A729" s="46">
        <f t="shared" si="18"/>
        <v>1</v>
      </c>
      <c r="B729" s="27">
        <v>1</v>
      </c>
      <c r="E729" s="25" t="s">
        <v>587</v>
      </c>
      <c r="F729" s="22" t="s">
        <v>85</v>
      </c>
      <c r="G729" s="29" t="s">
        <v>570</v>
      </c>
      <c r="H729" s="20" t="s">
        <v>589</v>
      </c>
      <c r="I729" s="85"/>
      <c r="J729" s="20"/>
      <c r="K729" s="37" t="s">
        <v>22</v>
      </c>
      <c r="L729" s="32">
        <v>506925</v>
      </c>
      <c r="O729" s="1" t="s">
        <v>907</v>
      </c>
    </row>
    <row r="730" spans="1:15" x14ac:dyDescent="0.2">
      <c r="A730" s="46">
        <f t="shared" si="18"/>
        <v>1</v>
      </c>
      <c r="B730" s="27">
        <v>1</v>
      </c>
      <c r="E730" s="25" t="s">
        <v>587</v>
      </c>
      <c r="F730" s="22" t="s">
        <v>588</v>
      </c>
      <c r="G730" s="29" t="s">
        <v>570</v>
      </c>
      <c r="H730" s="20" t="s">
        <v>574</v>
      </c>
      <c r="I730" s="85"/>
      <c r="J730" s="20"/>
      <c r="K730" s="37" t="s">
        <v>234</v>
      </c>
      <c r="L730" s="32" t="s">
        <v>576</v>
      </c>
      <c r="O730" s="1" t="s">
        <v>907</v>
      </c>
    </row>
    <row r="731" spans="1:15" x14ac:dyDescent="0.2">
      <c r="A731" s="46">
        <f t="shared" si="18"/>
        <v>1</v>
      </c>
      <c r="B731" s="27">
        <v>1</v>
      </c>
      <c r="E731" s="25" t="s">
        <v>1115</v>
      </c>
      <c r="F731" s="22" t="s">
        <v>16</v>
      </c>
      <c r="G731" s="29"/>
      <c r="H731" s="20" t="s">
        <v>1116</v>
      </c>
      <c r="I731" s="85"/>
      <c r="J731" s="20"/>
      <c r="K731" s="37" t="s">
        <v>484</v>
      </c>
      <c r="L731" s="32" t="s">
        <v>1117</v>
      </c>
      <c r="O731" s="1" t="s">
        <v>907</v>
      </c>
    </row>
    <row r="732" spans="1:15" x14ac:dyDescent="0.2">
      <c r="A732" s="46">
        <f t="shared" si="18"/>
        <v>1</v>
      </c>
      <c r="B732" s="27">
        <v>1</v>
      </c>
      <c r="E732" s="25" t="s">
        <v>1118</v>
      </c>
      <c r="F732" s="22" t="s">
        <v>323</v>
      </c>
      <c r="G732" s="29"/>
      <c r="H732" s="20" t="s">
        <v>1119</v>
      </c>
      <c r="I732" s="85"/>
      <c r="J732" s="20"/>
      <c r="K732" s="37" t="s">
        <v>22</v>
      </c>
      <c r="L732" s="32">
        <v>145326</v>
      </c>
      <c r="O732" s="1" t="s">
        <v>907</v>
      </c>
    </row>
    <row r="733" spans="1:15" x14ac:dyDescent="0.2">
      <c r="A733" s="46">
        <f t="shared" si="18"/>
        <v>4</v>
      </c>
      <c r="B733" s="27">
        <v>1</v>
      </c>
      <c r="C733" s="27">
        <v>3</v>
      </c>
      <c r="E733" s="25" t="s">
        <v>593</v>
      </c>
      <c r="F733" s="22" t="s">
        <v>33</v>
      </c>
      <c r="G733" s="29" t="s">
        <v>13</v>
      </c>
      <c r="H733" s="20" t="s">
        <v>594</v>
      </c>
      <c r="I733" s="85"/>
      <c r="J733" s="20"/>
      <c r="K733" s="37" t="s">
        <v>48</v>
      </c>
      <c r="L733" s="32" t="s">
        <v>595</v>
      </c>
      <c r="O733" s="1" t="s">
        <v>907</v>
      </c>
    </row>
    <row r="734" spans="1:15" x14ac:dyDescent="0.2">
      <c r="A734" s="46">
        <f t="shared" si="18"/>
        <v>2</v>
      </c>
      <c r="B734" s="27">
        <v>1</v>
      </c>
      <c r="C734" s="27">
        <v>1</v>
      </c>
      <c r="E734" s="25" t="s">
        <v>596</v>
      </c>
      <c r="F734" s="22" t="s">
        <v>978</v>
      </c>
      <c r="G734" s="29"/>
      <c r="H734" s="30"/>
      <c r="I734" s="84"/>
      <c r="J734" s="30"/>
      <c r="K734" s="37" t="s">
        <v>22</v>
      </c>
      <c r="L734" s="31">
        <v>505834</v>
      </c>
      <c r="O734" s="1" t="s">
        <v>907</v>
      </c>
    </row>
    <row r="735" spans="1:15" x14ac:dyDescent="0.2">
      <c r="A735" s="46">
        <f t="shared" si="18"/>
        <v>1</v>
      </c>
      <c r="B735" s="27">
        <v>1</v>
      </c>
      <c r="E735" s="25" t="s">
        <v>597</v>
      </c>
      <c r="F735" s="22" t="s">
        <v>600</v>
      </c>
      <c r="G735" s="29" t="s">
        <v>13</v>
      </c>
      <c r="H735" s="20" t="s">
        <v>601</v>
      </c>
      <c r="I735" s="85"/>
      <c r="J735" s="20"/>
      <c r="K735" s="37" t="s">
        <v>22</v>
      </c>
      <c r="L735" s="32">
        <v>646405</v>
      </c>
      <c r="N735" s="1" t="s">
        <v>889</v>
      </c>
      <c r="O735" s="1" t="s">
        <v>907</v>
      </c>
    </row>
    <row r="736" spans="1:15" x14ac:dyDescent="0.2">
      <c r="A736" s="46">
        <f t="shared" si="18"/>
        <v>1</v>
      </c>
      <c r="B736" s="27">
        <v>1</v>
      </c>
      <c r="E736" s="25" t="s">
        <v>597</v>
      </c>
      <c r="F736" s="22" t="s">
        <v>42</v>
      </c>
      <c r="G736" s="29" t="s">
        <v>13</v>
      </c>
      <c r="H736" s="20" t="s">
        <v>598</v>
      </c>
      <c r="I736" s="85"/>
      <c r="J736" s="20"/>
      <c r="K736" s="37" t="s">
        <v>35</v>
      </c>
      <c r="L736" s="32" t="s">
        <v>599</v>
      </c>
      <c r="O736" s="1" t="s">
        <v>907</v>
      </c>
    </row>
    <row r="737" spans="1:15" x14ac:dyDescent="0.2">
      <c r="A737" s="46">
        <f t="shared" si="18"/>
        <v>1</v>
      </c>
      <c r="B737" s="27">
        <v>1</v>
      </c>
      <c r="E737" s="25" t="s">
        <v>597</v>
      </c>
      <c r="F737" s="22" t="s">
        <v>42</v>
      </c>
      <c r="G737" s="29" t="s">
        <v>13</v>
      </c>
      <c r="H737" s="20" t="s">
        <v>13</v>
      </c>
      <c r="I737" s="85"/>
      <c r="J737" s="20"/>
      <c r="K737" s="37" t="s">
        <v>35</v>
      </c>
      <c r="L737" s="32" t="s">
        <v>599</v>
      </c>
      <c r="O737" s="1" t="s">
        <v>907</v>
      </c>
    </row>
    <row r="738" spans="1:15" x14ac:dyDescent="0.2">
      <c r="A738" s="46">
        <f t="shared" si="18"/>
        <v>1</v>
      </c>
      <c r="B738" s="27">
        <v>1</v>
      </c>
      <c r="E738" s="25" t="s">
        <v>602</v>
      </c>
      <c r="F738" s="22" t="s">
        <v>33</v>
      </c>
      <c r="G738" s="29" t="s">
        <v>13</v>
      </c>
      <c r="H738" s="20" t="s">
        <v>603</v>
      </c>
      <c r="I738" s="85"/>
      <c r="J738" s="20"/>
      <c r="K738" s="37" t="s">
        <v>22</v>
      </c>
      <c r="L738" s="32">
        <v>656003</v>
      </c>
      <c r="M738" t="s">
        <v>604</v>
      </c>
      <c r="O738" s="1" t="s">
        <v>907</v>
      </c>
    </row>
    <row r="739" spans="1:15" x14ac:dyDescent="0.2">
      <c r="A739" s="46">
        <f t="shared" si="18"/>
        <v>2</v>
      </c>
      <c r="B739" s="27">
        <v>1</v>
      </c>
      <c r="C739" s="27">
        <v>1</v>
      </c>
      <c r="E739" s="25" t="s">
        <v>605</v>
      </c>
      <c r="F739" s="22" t="s">
        <v>42</v>
      </c>
      <c r="G739" s="29" t="s">
        <v>13</v>
      </c>
      <c r="H739" s="20" t="s">
        <v>606</v>
      </c>
      <c r="I739" s="85"/>
      <c r="J739" s="20"/>
      <c r="K739" s="37" t="s">
        <v>48</v>
      </c>
      <c r="L739" s="32" t="s">
        <v>607</v>
      </c>
      <c r="N739" s="1" t="s">
        <v>888</v>
      </c>
      <c r="O739" s="1" t="s">
        <v>907</v>
      </c>
    </row>
    <row r="740" spans="1:15" x14ac:dyDescent="0.2">
      <c r="A740" s="46">
        <f t="shared" si="18"/>
        <v>2</v>
      </c>
      <c r="B740" s="27">
        <v>1</v>
      </c>
      <c r="C740" s="27">
        <v>1</v>
      </c>
      <c r="E740" s="25" t="s">
        <v>605</v>
      </c>
      <c r="F740" s="22" t="s">
        <v>172</v>
      </c>
      <c r="G740" s="29" t="s">
        <v>13</v>
      </c>
      <c r="H740" s="20" t="s">
        <v>606</v>
      </c>
      <c r="I740" s="85"/>
      <c r="J740" s="20"/>
      <c r="K740" s="37" t="s">
        <v>48</v>
      </c>
      <c r="L740" s="32" t="s">
        <v>608</v>
      </c>
      <c r="N740" s="1" t="s">
        <v>888</v>
      </c>
      <c r="O740" s="1" t="s">
        <v>907</v>
      </c>
    </row>
    <row r="741" spans="1:15" x14ac:dyDescent="0.2">
      <c r="A741" s="46">
        <f t="shared" si="18"/>
        <v>1</v>
      </c>
      <c r="B741" s="27">
        <v>1</v>
      </c>
      <c r="E741" s="25" t="s">
        <v>1219</v>
      </c>
      <c r="F741" s="22" t="s">
        <v>33</v>
      </c>
      <c r="G741" s="29"/>
      <c r="H741" s="30" t="s">
        <v>1220</v>
      </c>
      <c r="I741" s="84" t="s">
        <v>920</v>
      </c>
      <c r="J741" s="30" t="s">
        <v>923</v>
      </c>
      <c r="K741" s="43" t="s">
        <v>22</v>
      </c>
      <c r="L741" s="31">
        <v>400508</v>
      </c>
      <c r="O741" s="1" t="s">
        <v>907</v>
      </c>
    </row>
    <row r="742" spans="1:15" x14ac:dyDescent="0.2">
      <c r="A742" s="46">
        <f t="shared" si="18"/>
        <v>3</v>
      </c>
      <c r="B742" s="27">
        <v>1</v>
      </c>
      <c r="C742" s="27">
        <v>2</v>
      </c>
      <c r="E742" s="25" t="s">
        <v>609</v>
      </c>
      <c r="F742" s="22" t="s">
        <v>113</v>
      </c>
      <c r="G742" s="29"/>
      <c r="H742" s="30" t="s">
        <v>610</v>
      </c>
      <c r="I742" s="84"/>
      <c r="J742" s="30"/>
      <c r="K742" s="37" t="s">
        <v>22</v>
      </c>
      <c r="L742" s="31">
        <v>652420</v>
      </c>
      <c r="O742" s="1" t="s">
        <v>907</v>
      </c>
    </row>
    <row r="743" spans="1:15" x14ac:dyDescent="0.2">
      <c r="A743" s="46">
        <f t="shared" ref="A743:A774" si="19">B743+C743</f>
        <v>1</v>
      </c>
      <c r="B743" s="27">
        <v>1</v>
      </c>
      <c r="E743" s="25" t="s">
        <v>609</v>
      </c>
      <c r="F743" s="22" t="s">
        <v>90</v>
      </c>
      <c r="G743" s="29"/>
      <c r="H743" s="20" t="s">
        <v>610</v>
      </c>
      <c r="I743" s="85" t="s">
        <v>920</v>
      </c>
      <c r="J743" s="20" t="s">
        <v>910</v>
      </c>
      <c r="K743" s="37" t="s">
        <v>22</v>
      </c>
      <c r="L743" s="32">
        <v>65242</v>
      </c>
      <c r="O743" s="1"/>
    </row>
    <row r="744" spans="1:15" x14ac:dyDescent="0.2">
      <c r="A744" s="46">
        <f t="shared" si="19"/>
        <v>1</v>
      </c>
      <c r="B744" s="27">
        <v>1</v>
      </c>
      <c r="E744" s="25" t="s">
        <v>1113</v>
      </c>
      <c r="F744" s="22" t="s">
        <v>42</v>
      </c>
      <c r="G744" s="29"/>
      <c r="H744" s="30" t="s">
        <v>1114</v>
      </c>
      <c r="I744" s="84"/>
      <c r="J744" s="30"/>
      <c r="K744" s="37" t="s">
        <v>22</v>
      </c>
      <c r="L744" s="31">
        <v>138412</v>
      </c>
      <c r="O744" s="1" t="s">
        <v>907</v>
      </c>
    </row>
    <row r="745" spans="1:15" x14ac:dyDescent="0.2">
      <c r="A745" s="46">
        <f t="shared" si="19"/>
        <v>0</v>
      </c>
      <c r="E745" s="25" t="s">
        <v>611</v>
      </c>
      <c r="F745" s="22" t="s">
        <v>13</v>
      </c>
      <c r="G745" s="29" t="s">
        <v>612</v>
      </c>
      <c r="H745" s="20" t="s">
        <v>13</v>
      </c>
      <c r="I745" s="85"/>
      <c r="J745" s="20"/>
      <c r="K745" s="37" t="s">
        <v>13</v>
      </c>
      <c r="L745" s="32">
        <v>740741</v>
      </c>
      <c r="O745" s="1" t="s">
        <v>907</v>
      </c>
    </row>
    <row r="746" spans="1:15" x14ac:dyDescent="0.2">
      <c r="A746" s="46">
        <f t="shared" si="19"/>
        <v>1</v>
      </c>
      <c r="B746" s="27">
        <v>1</v>
      </c>
      <c r="E746" s="25" t="s">
        <v>613</v>
      </c>
      <c r="F746" s="22" t="s">
        <v>30</v>
      </c>
      <c r="G746" s="29"/>
      <c r="H746" s="30"/>
      <c r="I746" s="84"/>
      <c r="J746" s="30"/>
      <c r="K746" s="37" t="s">
        <v>247</v>
      </c>
      <c r="L746" s="31" t="s">
        <v>614</v>
      </c>
      <c r="O746" s="1" t="s">
        <v>907</v>
      </c>
    </row>
    <row r="747" spans="1:15" x14ac:dyDescent="0.2">
      <c r="A747" s="46">
        <f t="shared" si="19"/>
        <v>1</v>
      </c>
      <c r="B747" s="27">
        <v>1</v>
      </c>
      <c r="E747" s="25" t="s">
        <v>615</v>
      </c>
      <c r="F747" s="22" t="s">
        <v>27</v>
      </c>
      <c r="G747" s="29"/>
      <c r="H747" s="20" t="s">
        <v>616</v>
      </c>
      <c r="I747" s="85"/>
      <c r="J747" s="20"/>
      <c r="K747" s="37" t="s">
        <v>247</v>
      </c>
      <c r="L747" s="31" t="s">
        <v>617</v>
      </c>
      <c r="O747" s="1" t="s">
        <v>907</v>
      </c>
    </row>
    <row r="748" spans="1:15" x14ac:dyDescent="0.2">
      <c r="A748" s="46">
        <f t="shared" si="19"/>
        <v>2</v>
      </c>
      <c r="B748" s="27">
        <v>1</v>
      </c>
      <c r="C748" s="27">
        <v>1</v>
      </c>
      <c r="E748" s="25" t="s">
        <v>618</v>
      </c>
      <c r="F748" s="22" t="s">
        <v>42</v>
      </c>
      <c r="G748" s="29" t="s">
        <v>13</v>
      </c>
      <c r="H748" s="20" t="s">
        <v>619</v>
      </c>
      <c r="I748" s="85"/>
      <c r="J748" s="20"/>
      <c r="K748" s="37" t="s">
        <v>22</v>
      </c>
      <c r="L748" s="32">
        <v>134610</v>
      </c>
      <c r="O748" s="1" t="s">
        <v>907</v>
      </c>
    </row>
    <row r="749" spans="1:15" x14ac:dyDescent="0.2">
      <c r="A749" s="46">
        <f t="shared" si="19"/>
        <v>2</v>
      </c>
      <c r="B749" s="27">
        <v>1</v>
      </c>
      <c r="C749" s="27">
        <v>1</v>
      </c>
      <c r="E749" s="25" t="s">
        <v>618</v>
      </c>
      <c r="F749" s="22" t="s">
        <v>33</v>
      </c>
      <c r="G749" s="29" t="s">
        <v>13</v>
      </c>
      <c r="H749" s="20" t="s">
        <v>619</v>
      </c>
      <c r="I749" s="85"/>
      <c r="J749" s="20"/>
      <c r="K749" s="37" t="s">
        <v>22</v>
      </c>
      <c r="L749" s="32">
        <v>134606</v>
      </c>
      <c r="O749" s="1" t="s">
        <v>907</v>
      </c>
    </row>
    <row r="750" spans="1:15" x14ac:dyDescent="0.2">
      <c r="A750" s="46">
        <f t="shared" si="19"/>
        <v>1</v>
      </c>
      <c r="B750" s="27">
        <v>1</v>
      </c>
      <c r="E750" s="25" t="s">
        <v>620</v>
      </c>
      <c r="F750" s="22" t="s">
        <v>33</v>
      </c>
      <c r="G750" s="29"/>
      <c r="H750" s="30"/>
      <c r="I750" s="84"/>
      <c r="J750" s="30"/>
      <c r="K750" s="37" t="s">
        <v>247</v>
      </c>
      <c r="L750" s="31" t="s">
        <v>621</v>
      </c>
      <c r="O750" s="1" t="s">
        <v>907</v>
      </c>
    </row>
    <row r="751" spans="1:15" x14ac:dyDescent="0.2">
      <c r="A751" s="46">
        <f t="shared" si="19"/>
        <v>1</v>
      </c>
      <c r="B751" s="27">
        <v>1</v>
      </c>
      <c r="E751" s="25" t="s">
        <v>622</v>
      </c>
      <c r="F751" s="22" t="s">
        <v>27</v>
      </c>
      <c r="G751" s="29"/>
      <c r="H751" s="30" t="s">
        <v>623</v>
      </c>
      <c r="I751" s="84"/>
      <c r="J751" s="30"/>
      <c r="K751" s="37" t="s">
        <v>247</v>
      </c>
      <c r="L751" s="31">
        <v>557423</v>
      </c>
      <c r="O751" s="1" t="s">
        <v>907</v>
      </c>
    </row>
    <row r="752" spans="1:15" x14ac:dyDescent="0.2">
      <c r="A752" s="46">
        <f t="shared" si="19"/>
        <v>1</v>
      </c>
      <c r="B752" s="27">
        <v>1</v>
      </c>
      <c r="E752" s="25" t="s">
        <v>624</v>
      </c>
      <c r="F752" s="22" t="s">
        <v>27</v>
      </c>
      <c r="G752" s="29"/>
      <c r="H752" s="30" t="s">
        <v>625</v>
      </c>
      <c r="I752" s="84"/>
      <c r="J752" s="30"/>
      <c r="K752" s="37" t="s">
        <v>247</v>
      </c>
      <c r="L752" s="31" t="s">
        <v>626</v>
      </c>
      <c r="O752" s="1" t="s">
        <v>907</v>
      </c>
    </row>
    <row r="753" spans="1:15" x14ac:dyDescent="0.2">
      <c r="A753" s="46">
        <f t="shared" si="19"/>
        <v>1</v>
      </c>
      <c r="B753" s="27">
        <v>1</v>
      </c>
      <c r="E753" s="25" t="s">
        <v>627</v>
      </c>
      <c r="F753" s="22" t="s">
        <v>33</v>
      </c>
      <c r="G753" s="29"/>
      <c r="H753" s="30"/>
      <c r="I753" s="84"/>
      <c r="J753" s="30"/>
      <c r="K753" s="37" t="s">
        <v>247</v>
      </c>
      <c r="L753" s="31">
        <v>555311</v>
      </c>
      <c r="O753" s="1" t="s">
        <v>907</v>
      </c>
    </row>
    <row r="754" spans="1:15" x14ac:dyDescent="0.2">
      <c r="A754" s="46">
        <f t="shared" si="19"/>
        <v>1</v>
      </c>
      <c r="B754" s="27">
        <v>1</v>
      </c>
      <c r="E754" s="25" t="s">
        <v>628</v>
      </c>
      <c r="F754" s="22" t="s">
        <v>33</v>
      </c>
      <c r="G754" s="29"/>
      <c r="H754" s="30"/>
      <c r="I754" s="84"/>
      <c r="J754" s="30"/>
      <c r="K754" s="37" t="s">
        <v>247</v>
      </c>
      <c r="L754" s="31" t="s">
        <v>629</v>
      </c>
      <c r="O754" s="1" t="s">
        <v>907</v>
      </c>
    </row>
    <row r="755" spans="1:15" x14ac:dyDescent="0.2">
      <c r="A755" s="46">
        <f t="shared" si="19"/>
        <v>1</v>
      </c>
      <c r="B755" s="27">
        <v>1</v>
      </c>
      <c r="E755" s="25" t="s">
        <v>630</v>
      </c>
      <c r="F755" s="22" t="s">
        <v>30</v>
      </c>
      <c r="G755" s="29" t="s">
        <v>13</v>
      </c>
      <c r="H755" s="28">
        <v>2000000</v>
      </c>
      <c r="I755" s="99"/>
      <c r="J755" s="28"/>
      <c r="K755" s="37" t="s">
        <v>631</v>
      </c>
      <c r="L755" s="32" t="s">
        <v>632</v>
      </c>
      <c r="M755" s="1" t="s">
        <v>633</v>
      </c>
      <c r="O755" s="1" t="s">
        <v>907</v>
      </c>
    </row>
    <row r="756" spans="1:15" x14ac:dyDescent="0.2">
      <c r="A756" s="46">
        <f t="shared" si="19"/>
        <v>3</v>
      </c>
      <c r="B756" s="27">
        <v>1</v>
      </c>
      <c r="C756" s="27">
        <v>2</v>
      </c>
      <c r="E756" s="25" t="s">
        <v>634</v>
      </c>
      <c r="F756" s="22" t="s">
        <v>636</v>
      </c>
      <c r="G756" s="29" t="s">
        <v>13</v>
      </c>
      <c r="H756" s="20" t="s">
        <v>635</v>
      </c>
      <c r="I756" s="27" t="s">
        <v>920</v>
      </c>
      <c r="J756" s="6" t="s">
        <v>1108</v>
      </c>
      <c r="K756" s="37" t="s">
        <v>22</v>
      </c>
      <c r="L756" s="32">
        <v>128024</v>
      </c>
      <c r="M756" t="s">
        <v>1235</v>
      </c>
      <c r="N756" s="1">
        <v>1000</v>
      </c>
      <c r="O756" s="1" t="s">
        <v>907</v>
      </c>
    </row>
    <row r="757" spans="1:15" x14ac:dyDescent="0.2">
      <c r="A757" s="46">
        <f t="shared" si="19"/>
        <v>2</v>
      </c>
      <c r="B757" s="27">
        <v>1</v>
      </c>
      <c r="C757" s="27">
        <v>1</v>
      </c>
      <c r="D757" s="27">
        <v>1</v>
      </c>
      <c r="E757" s="25" t="s">
        <v>634</v>
      </c>
      <c r="F757" s="22" t="s">
        <v>42</v>
      </c>
      <c r="G757" s="29" t="s">
        <v>13</v>
      </c>
      <c r="H757" s="20" t="s">
        <v>635</v>
      </c>
      <c r="I757" s="27" t="s">
        <v>920</v>
      </c>
      <c r="J757" s="6" t="s">
        <v>1108</v>
      </c>
      <c r="K757" s="37" t="s">
        <v>48</v>
      </c>
      <c r="L757" s="32" t="s">
        <v>637</v>
      </c>
      <c r="M757" t="s">
        <v>892</v>
      </c>
      <c r="N757" s="1">
        <v>1600</v>
      </c>
      <c r="O757" s="1" t="s">
        <v>907</v>
      </c>
    </row>
    <row r="758" spans="1:15" x14ac:dyDescent="0.2">
      <c r="A758" s="46">
        <f t="shared" si="19"/>
        <v>2</v>
      </c>
      <c r="B758" s="27">
        <v>1</v>
      </c>
      <c r="C758" s="27">
        <v>1</v>
      </c>
      <c r="E758" s="25" t="s">
        <v>634</v>
      </c>
      <c r="F758" s="22" t="s">
        <v>116</v>
      </c>
      <c r="G758" s="29" t="s">
        <v>13</v>
      </c>
      <c r="H758" s="20" t="s">
        <v>635</v>
      </c>
      <c r="I758" s="27" t="s">
        <v>920</v>
      </c>
      <c r="J758" s="6" t="s">
        <v>1108</v>
      </c>
      <c r="K758" s="37" t="s">
        <v>54</v>
      </c>
      <c r="L758" s="32">
        <v>128033</v>
      </c>
      <c r="O758" s="1" t="s">
        <v>907</v>
      </c>
    </row>
    <row r="759" spans="1:15" x14ac:dyDescent="0.2">
      <c r="A759" s="46">
        <f t="shared" si="19"/>
        <v>2</v>
      </c>
      <c r="B759" s="27">
        <v>1</v>
      </c>
      <c r="C759" s="27">
        <v>1</v>
      </c>
      <c r="E759" s="25" t="s">
        <v>634</v>
      </c>
      <c r="F759" s="22" t="s">
        <v>321</v>
      </c>
      <c r="G759" s="29" t="s">
        <v>13</v>
      </c>
      <c r="H759" s="20" t="s">
        <v>635</v>
      </c>
      <c r="I759" s="27" t="s">
        <v>920</v>
      </c>
      <c r="J759" s="6" t="s">
        <v>1108</v>
      </c>
      <c r="K759" s="37" t="s">
        <v>22</v>
      </c>
      <c r="L759" s="32">
        <v>128029</v>
      </c>
      <c r="O759" s="1" t="s">
        <v>907</v>
      </c>
    </row>
    <row r="760" spans="1:15" x14ac:dyDescent="0.2">
      <c r="A760" s="46">
        <f t="shared" si="19"/>
        <v>3</v>
      </c>
      <c r="B760" s="27">
        <v>1</v>
      </c>
      <c r="C760" s="27">
        <v>2</v>
      </c>
      <c r="D760" s="27">
        <v>1</v>
      </c>
      <c r="E760" s="25" t="s">
        <v>634</v>
      </c>
      <c r="F760" s="22" t="s">
        <v>115</v>
      </c>
      <c r="G760" s="29" t="s">
        <v>13</v>
      </c>
      <c r="H760" s="20" t="s">
        <v>635</v>
      </c>
      <c r="I760" s="27" t="s">
        <v>920</v>
      </c>
      <c r="J760" s="6" t="s">
        <v>1108</v>
      </c>
      <c r="K760" s="37" t="s">
        <v>22</v>
      </c>
      <c r="L760" s="32">
        <v>128041</v>
      </c>
      <c r="N760" s="1" t="s">
        <v>81</v>
      </c>
      <c r="O760" s="1" t="s">
        <v>907</v>
      </c>
    </row>
    <row r="761" spans="1:15" x14ac:dyDescent="0.2">
      <c r="A761" s="46">
        <f t="shared" si="19"/>
        <v>2</v>
      </c>
      <c r="B761" s="27">
        <v>1</v>
      </c>
      <c r="C761" s="27">
        <v>1</v>
      </c>
      <c r="E761" s="25" t="s">
        <v>638</v>
      </c>
      <c r="F761" s="22" t="s">
        <v>354</v>
      </c>
      <c r="G761" s="29" t="s">
        <v>13</v>
      </c>
      <c r="H761" s="20" t="s">
        <v>639</v>
      </c>
      <c r="J761" s="20"/>
      <c r="K761" s="37" t="s">
        <v>484</v>
      </c>
      <c r="L761" s="32" t="s">
        <v>641</v>
      </c>
      <c r="O761" s="1" t="s">
        <v>907</v>
      </c>
    </row>
    <row r="762" spans="1:15" x14ac:dyDescent="0.2">
      <c r="A762" s="46">
        <f t="shared" si="19"/>
        <v>5</v>
      </c>
      <c r="B762" s="27">
        <v>1</v>
      </c>
      <c r="C762" s="27">
        <v>4</v>
      </c>
      <c r="E762" s="25" t="s">
        <v>638</v>
      </c>
      <c r="F762" s="22" t="s">
        <v>30</v>
      </c>
      <c r="G762" s="29" t="s">
        <v>13</v>
      </c>
      <c r="H762" s="20" t="s">
        <v>639</v>
      </c>
      <c r="J762" s="20"/>
      <c r="K762" s="37" t="s">
        <v>22</v>
      </c>
      <c r="L762" s="32">
        <v>138606</v>
      </c>
      <c r="N762" s="1" t="s">
        <v>886</v>
      </c>
      <c r="O762" s="1" t="s">
        <v>907</v>
      </c>
    </row>
    <row r="763" spans="1:15" x14ac:dyDescent="0.2">
      <c r="A763" s="46">
        <f t="shared" si="19"/>
        <v>3</v>
      </c>
      <c r="B763" s="27">
        <v>1</v>
      </c>
      <c r="C763" s="27">
        <v>2</v>
      </c>
      <c r="E763" s="25" t="s">
        <v>638</v>
      </c>
      <c r="F763" s="22" t="s">
        <v>33</v>
      </c>
      <c r="G763" s="29" t="s">
        <v>13</v>
      </c>
      <c r="H763" s="20" t="s">
        <v>639</v>
      </c>
      <c r="J763" s="20"/>
      <c r="K763" s="37" t="s">
        <v>22</v>
      </c>
      <c r="L763" s="32">
        <v>138604</v>
      </c>
      <c r="M763" t="s">
        <v>899</v>
      </c>
      <c r="N763" s="1" t="s">
        <v>891</v>
      </c>
      <c r="O763" s="1" t="s">
        <v>907</v>
      </c>
    </row>
    <row r="764" spans="1:15" x14ac:dyDescent="0.2">
      <c r="A764" s="46">
        <f t="shared" si="19"/>
        <v>1</v>
      </c>
      <c r="B764" s="27">
        <v>1</v>
      </c>
      <c r="E764" s="25" t="s">
        <v>638</v>
      </c>
      <c r="F764" s="22" t="s">
        <v>33</v>
      </c>
      <c r="G764" s="29"/>
      <c r="H764" s="30" t="s">
        <v>639</v>
      </c>
      <c r="J764" s="30"/>
      <c r="K764" s="37" t="s">
        <v>48</v>
      </c>
      <c r="L764" s="31" t="s">
        <v>642</v>
      </c>
      <c r="O764" s="1" t="s">
        <v>907</v>
      </c>
    </row>
    <row r="765" spans="1:15" x14ac:dyDescent="0.2">
      <c r="A765" s="46">
        <f t="shared" si="19"/>
        <v>1</v>
      </c>
      <c r="B765" s="111">
        <v>1</v>
      </c>
      <c r="C765" s="111">
        <v>0</v>
      </c>
      <c r="D765" s="111"/>
      <c r="E765" s="112" t="s">
        <v>638</v>
      </c>
      <c r="F765" s="113" t="s">
        <v>136</v>
      </c>
      <c r="G765" s="114" t="s">
        <v>13</v>
      </c>
      <c r="H765" s="110" t="s">
        <v>639</v>
      </c>
      <c r="I765" s="111"/>
      <c r="J765" s="110"/>
      <c r="K765" s="110" t="s">
        <v>48</v>
      </c>
      <c r="L765" s="110" t="s">
        <v>640</v>
      </c>
      <c r="M765" s="110" t="s">
        <v>1161</v>
      </c>
      <c r="N765" s="110" t="s">
        <v>891</v>
      </c>
      <c r="O765" s="1" t="s">
        <v>907</v>
      </c>
    </row>
    <row r="766" spans="1:15" x14ac:dyDescent="0.2">
      <c r="A766" s="46">
        <f t="shared" si="19"/>
        <v>1</v>
      </c>
      <c r="B766" s="27">
        <v>1</v>
      </c>
      <c r="E766" s="2" t="s">
        <v>643</v>
      </c>
      <c r="F766" s="7" t="s">
        <v>139</v>
      </c>
      <c r="G766" s="5" t="s">
        <v>938</v>
      </c>
      <c r="H766" s="6" t="s">
        <v>644</v>
      </c>
      <c r="I766" s="27" t="s">
        <v>920</v>
      </c>
      <c r="J766" s="6" t="s">
        <v>923</v>
      </c>
      <c r="K766" s="39" t="s">
        <v>22</v>
      </c>
      <c r="L766" s="34">
        <v>127625</v>
      </c>
      <c r="O766" s="1" t="s">
        <v>908</v>
      </c>
    </row>
    <row r="767" spans="1:15" x14ac:dyDescent="0.2">
      <c r="A767" s="46">
        <f t="shared" si="19"/>
        <v>1</v>
      </c>
      <c r="B767" s="27">
        <v>1</v>
      </c>
      <c r="E767" s="2" t="s">
        <v>643</v>
      </c>
      <c r="F767" s="7" t="s">
        <v>57</v>
      </c>
      <c r="G767" s="5" t="s">
        <v>938</v>
      </c>
      <c r="H767" s="6" t="s">
        <v>644</v>
      </c>
      <c r="I767" s="27" t="s">
        <v>920</v>
      </c>
      <c r="J767" s="6" t="s">
        <v>923</v>
      </c>
      <c r="K767" s="39" t="s">
        <v>22</v>
      </c>
      <c r="L767" s="34">
        <v>127609</v>
      </c>
      <c r="O767" s="1" t="s">
        <v>908</v>
      </c>
    </row>
    <row r="768" spans="1:15" x14ac:dyDescent="0.2">
      <c r="A768" s="46">
        <f t="shared" si="19"/>
        <v>3</v>
      </c>
      <c r="B768" s="27">
        <v>1</v>
      </c>
      <c r="C768" s="27">
        <v>2</v>
      </c>
      <c r="E768" s="25" t="s">
        <v>643</v>
      </c>
      <c r="F768" s="22" t="s">
        <v>27</v>
      </c>
      <c r="G768" s="5" t="s">
        <v>938</v>
      </c>
      <c r="H768" s="20" t="s">
        <v>644</v>
      </c>
      <c r="I768" s="27" t="s">
        <v>920</v>
      </c>
      <c r="J768" s="6" t="s">
        <v>923</v>
      </c>
      <c r="K768" s="37" t="s">
        <v>22</v>
      </c>
      <c r="L768" s="36">
        <v>127604</v>
      </c>
      <c r="N768" s="1" t="s">
        <v>891</v>
      </c>
      <c r="O768" s="1" t="s">
        <v>907</v>
      </c>
    </row>
    <row r="769" spans="1:15" x14ac:dyDescent="0.2">
      <c r="A769" s="46">
        <f t="shared" si="19"/>
        <v>0</v>
      </c>
      <c r="D769" s="27">
        <v>1</v>
      </c>
      <c r="E769" s="25" t="s">
        <v>643</v>
      </c>
      <c r="F769" s="22" t="s">
        <v>85</v>
      </c>
      <c r="G769" s="5" t="s">
        <v>938</v>
      </c>
      <c r="H769" s="20" t="s">
        <v>644</v>
      </c>
      <c r="I769" s="27" t="s">
        <v>920</v>
      </c>
      <c r="J769" s="6" t="s">
        <v>923</v>
      </c>
      <c r="K769" s="37" t="s">
        <v>22</v>
      </c>
      <c r="L769" s="32">
        <v>127627</v>
      </c>
      <c r="O769" s="1" t="s">
        <v>908</v>
      </c>
    </row>
    <row r="770" spans="1:15" x14ac:dyDescent="0.2">
      <c r="A770" s="46">
        <f t="shared" si="19"/>
        <v>1</v>
      </c>
      <c r="B770" s="27">
        <v>1</v>
      </c>
      <c r="E770" s="2" t="s">
        <v>643</v>
      </c>
      <c r="F770" s="7" t="s">
        <v>32</v>
      </c>
      <c r="G770" s="5" t="s">
        <v>938</v>
      </c>
      <c r="H770" s="6" t="s">
        <v>644</v>
      </c>
      <c r="I770" s="27" t="s">
        <v>920</v>
      </c>
      <c r="J770" s="6" t="s">
        <v>923</v>
      </c>
      <c r="K770" s="39" t="s">
        <v>22</v>
      </c>
      <c r="L770" s="34">
        <v>127639</v>
      </c>
      <c r="O770" s="1" t="s">
        <v>907</v>
      </c>
    </row>
    <row r="771" spans="1:15" x14ac:dyDescent="0.2">
      <c r="A771" s="46">
        <f t="shared" si="19"/>
        <v>3</v>
      </c>
      <c r="B771" s="27">
        <v>1</v>
      </c>
      <c r="C771" s="27">
        <v>2</v>
      </c>
      <c r="E771" s="25" t="s">
        <v>643</v>
      </c>
      <c r="F771" s="22" t="s">
        <v>33</v>
      </c>
      <c r="G771" s="5" t="s">
        <v>938</v>
      </c>
      <c r="H771" s="20" t="s">
        <v>644</v>
      </c>
      <c r="I771" s="27" t="s">
        <v>920</v>
      </c>
      <c r="J771" s="6" t="s">
        <v>923</v>
      </c>
      <c r="K771" s="37" t="s">
        <v>22</v>
      </c>
      <c r="L771" s="32">
        <v>127607</v>
      </c>
      <c r="N771" s="1" t="s">
        <v>891</v>
      </c>
      <c r="O771" s="1" t="s">
        <v>907</v>
      </c>
    </row>
    <row r="772" spans="1:15" x14ac:dyDescent="0.2">
      <c r="A772" s="46">
        <f t="shared" si="19"/>
        <v>1</v>
      </c>
      <c r="B772" s="27">
        <v>1</v>
      </c>
      <c r="E772" s="2" t="s">
        <v>643</v>
      </c>
      <c r="F772" s="7" t="s">
        <v>1204</v>
      </c>
      <c r="G772" s="5" t="s">
        <v>938</v>
      </c>
      <c r="H772" s="6" t="s">
        <v>644</v>
      </c>
      <c r="I772" s="27" t="s">
        <v>920</v>
      </c>
      <c r="J772" s="6" t="s">
        <v>923</v>
      </c>
      <c r="K772" s="39" t="s">
        <v>22</v>
      </c>
      <c r="L772" s="34">
        <v>127666</v>
      </c>
      <c r="O772" s="1" t="s">
        <v>907</v>
      </c>
    </row>
    <row r="773" spans="1:15" x14ac:dyDescent="0.2">
      <c r="A773" s="46">
        <f t="shared" si="19"/>
        <v>1</v>
      </c>
      <c r="B773" s="27">
        <v>1</v>
      </c>
      <c r="E773" s="25" t="s">
        <v>645</v>
      </c>
      <c r="F773" s="22" t="s">
        <v>33</v>
      </c>
      <c r="G773" s="29" t="s">
        <v>646</v>
      </c>
      <c r="H773" s="30" t="s">
        <v>13</v>
      </c>
      <c r="I773" s="84"/>
      <c r="J773" s="30"/>
      <c r="K773" s="37" t="s">
        <v>410</v>
      </c>
      <c r="L773" s="31">
        <v>555308</v>
      </c>
      <c r="O773" s="1" t="s">
        <v>907</v>
      </c>
    </row>
    <row r="774" spans="1:15" x14ac:dyDescent="0.2">
      <c r="A774" s="46">
        <f t="shared" si="19"/>
        <v>2</v>
      </c>
      <c r="B774" s="27">
        <v>1</v>
      </c>
      <c r="C774" s="27">
        <v>1</v>
      </c>
      <c r="E774" s="25" t="s">
        <v>647</v>
      </c>
      <c r="F774" s="22" t="s">
        <v>33</v>
      </c>
      <c r="G774" s="29" t="s">
        <v>13</v>
      </c>
      <c r="H774" s="20" t="s">
        <v>648</v>
      </c>
      <c r="I774" s="85"/>
      <c r="J774" s="20"/>
      <c r="K774" s="37" t="s">
        <v>22</v>
      </c>
      <c r="L774" s="32">
        <v>125405</v>
      </c>
      <c r="O774" s="1" t="s">
        <v>907</v>
      </c>
    </row>
    <row r="775" spans="1:15" x14ac:dyDescent="0.2">
      <c r="A775" s="46">
        <f t="shared" ref="A775:A806" si="20">B775+C775</f>
        <v>1</v>
      </c>
      <c r="B775" s="27">
        <v>1</v>
      </c>
      <c r="E775" s="25" t="s">
        <v>649</v>
      </c>
      <c r="F775" s="22" t="s">
        <v>26</v>
      </c>
      <c r="G775" s="29"/>
      <c r="H775" s="30"/>
      <c r="I775" s="84"/>
      <c r="J775" s="30"/>
      <c r="K775" s="37" t="s">
        <v>17</v>
      </c>
      <c r="L775" s="31"/>
      <c r="O775" s="1" t="s">
        <v>907</v>
      </c>
    </row>
    <row r="776" spans="1:15" x14ac:dyDescent="0.2">
      <c r="A776" s="46">
        <f t="shared" si="20"/>
        <v>1</v>
      </c>
      <c r="B776" s="27">
        <v>1</v>
      </c>
      <c r="E776" s="25" t="s">
        <v>650</v>
      </c>
      <c r="F776" s="22" t="s">
        <v>96</v>
      </c>
      <c r="G776" s="29" t="s">
        <v>13</v>
      </c>
      <c r="H776" s="30" t="s">
        <v>651</v>
      </c>
      <c r="I776" s="84"/>
      <c r="J776" s="30"/>
      <c r="K776" s="37" t="s">
        <v>652</v>
      </c>
      <c r="L776" s="31" t="s">
        <v>653</v>
      </c>
      <c r="O776" s="1" t="s">
        <v>907</v>
      </c>
    </row>
    <row r="777" spans="1:15" x14ac:dyDescent="0.2">
      <c r="A777" s="46">
        <f t="shared" si="20"/>
        <v>1</v>
      </c>
      <c r="B777" s="27">
        <v>1</v>
      </c>
      <c r="E777" s="25" t="s">
        <v>654</v>
      </c>
      <c r="F777" s="22" t="s">
        <v>16</v>
      </c>
      <c r="G777" s="29"/>
      <c r="H777" s="30" t="s">
        <v>655</v>
      </c>
      <c r="I777" s="84"/>
      <c r="J777" s="30"/>
      <c r="K777" s="37" t="s">
        <v>48</v>
      </c>
      <c r="L777" s="31" t="s">
        <v>656</v>
      </c>
      <c r="O777" s="1" t="s">
        <v>907</v>
      </c>
    </row>
    <row r="778" spans="1:15" x14ac:dyDescent="0.2">
      <c r="A778" s="46">
        <f t="shared" si="20"/>
        <v>3</v>
      </c>
      <c r="B778" s="27">
        <v>1</v>
      </c>
      <c r="C778" s="27">
        <v>2</v>
      </c>
      <c r="E778" s="25" t="s">
        <v>657</v>
      </c>
      <c r="F778" s="22" t="s">
        <v>33</v>
      </c>
      <c r="G778" s="29" t="s">
        <v>13</v>
      </c>
      <c r="H778" s="20" t="s">
        <v>658</v>
      </c>
      <c r="I778" s="85"/>
      <c r="J778" s="20"/>
      <c r="K778" s="37" t="s">
        <v>22</v>
      </c>
      <c r="L778" s="32">
        <v>151506</v>
      </c>
      <c r="N778" s="1" t="s">
        <v>886</v>
      </c>
      <c r="O778" s="1" t="s">
        <v>907</v>
      </c>
    </row>
    <row r="779" spans="1:15" x14ac:dyDescent="0.2">
      <c r="A779" s="46">
        <f t="shared" si="20"/>
        <v>0</v>
      </c>
      <c r="E779" s="25" t="s">
        <v>659</v>
      </c>
      <c r="F779" s="22" t="s">
        <v>27</v>
      </c>
      <c r="G779" s="29" t="s">
        <v>13</v>
      </c>
      <c r="H779" s="20" t="s">
        <v>660</v>
      </c>
      <c r="I779" s="85"/>
      <c r="J779" s="20"/>
      <c r="K779" s="37" t="s">
        <v>76</v>
      </c>
      <c r="L779" s="32" t="s">
        <v>13</v>
      </c>
      <c r="N779" s="1" t="s">
        <v>886</v>
      </c>
      <c r="O779" s="1" t="s">
        <v>907</v>
      </c>
    </row>
    <row r="780" spans="1:15" x14ac:dyDescent="0.2">
      <c r="A780" s="46">
        <f t="shared" si="20"/>
        <v>1</v>
      </c>
      <c r="B780" s="27">
        <v>1</v>
      </c>
      <c r="E780" s="25" t="s">
        <v>659</v>
      </c>
      <c r="F780" s="22" t="s">
        <v>30</v>
      </c>
      <c r="G780" s="29" t="s">
        <v>13</v>
      </c>
      <c r="H780" s="20" t="s">
        <v>660</v>
      </c>
      <c r="I780" s="85"/>
      <c r="J780" s="20"/>
      <c r="K780" s="37" t="s">
        <v>247</v>
      </c>
      <c r="L780" s="32" t="s">
        <v>661</v>
      </c>
      <c r="O780" s="1" t="s">
        <v>907</v>
      </c>
    </row>
    <row r="781" spans="1:15" x14ac:dyDescent="0.2">
      <c r="A781" s="46">
        <f t="shared" si="20"/>
        <v>1</v>
      </c>
      <c r="B781" s="27">
        <v>1</v>
      </c>
      <c r="E781" s="25" t="s">
        <v>659</v>
      </c>
      <c r="F781" s="22" t="s">
        <v>30</v>
      </c>
      <c r="G781" s="29" t="s">
        <v>13</v>
      </c>
      <c r="H781" s="20" t="s">
        <v>662</v>
      </c>
      <c r="I781" s="85"/>
      <c r="J781" s="20"/>
      <c r="K781" s="37" t="s">
        <v>247</v>
      </c>
      <c r="L781" s="32" t="s">
        <v>663</v>
      </c>
      <c r="O781" s="1" t="s">
        <v>907</v>
      </c>
    </row>
    <row r="782" spans="1:15" x14ac:dyDescent="0.2">
      <c r="A782" s="46">
        <f t="shared" si="20"/>
        <v>1</v>
      </c>
      <c r="B782" s="27">
        <v>1</v>
      </c>
      <c r="E782" s="25" t="s">
        <v>659</v>
      </c>
      <c r="F782" s="22" t="s">
        <v>33</v>
      </c>
      <c r="G782" s="29" t="s">
        <v>13</v>
      </c>
      <c r="H782" s="20" t="s">
        <v>660</v>
      </c>
      <c r="I782" s="85"/>
      <c r="J782" s="20"/>
      <c r="K782" s="37" t="s">
        <v>39</v>
      </c>
      <c r="L782" s="32">
        <v>553552</v>
      </c>
      <c r="O782" s="1" t="s">
        <v>907</v>
      </c>
    </row>
    <row r="783" spans="1:15" x14ac:dyDescent="0.2">
      <c r="A783" s="46">
        <f t="shared" si="20"/>
        <v>1</v>
      </c>
      <c r="B783" s="27">
        <v>1</v>
      </c>
      <c r="E783" s="25" t="s">
        <v>1192</v>
      </c>
      <c r="F783" s="22" t="s">
        <v>873</v>
      </c>
      <c r="G783" s="29" t="s">
        <v>671</v>
      </c>
      <c r="H783" s="20" t="s">
        <v>665</v>
      </c>
      <c r="I783" s="85" t="s">
        <v>1173</v>
      </c>
      <c r="J783" s="20"/>
      <c r="K783" s="37" t="s">
        <v>39</v>
      </c>
      <c r="L783" s="32">
        <v>748848</v>
      </c>
      <c r="O783" s="1"/>
    </row>
    <row r="784" spans="1:15" x14ac:dyDescent="0.2">
      <c r="A784" s="46">
        <f t="shared" si="20"/>
        <v>1</v>
      </c>
      <c r="B784" s="27">
        <v>1</v>
      </c>
      <c r="E784" s="25" t="s">
        <v>664</v>
      </c>
      <c r="F784" s="22" t="s">
        <v>24</v>
      </c>
      <c r="G784" s="29" t="s">
        <v>13</v>
      </c>
      <c r="H784" s="20" t="s">
        <v>665</v>
      </c>
      <c r="I784" s="85"/>
      <c r="J784" s="20"/>
      <c r="K784" s="37" t="s">
        <v>20</v>
      </c>
      <c r="L784" s="32" t="s">
        <v>13</v>
      </c>
      <c r="O784" s="1" t="s">
        <v>907</v>
      </c>
    </row>
    <row r="785" spans="1:15" x14ac:dyDescent="0.2">
      <c r="A785" s="46">
        <f t="shared" si="20"/>
        <v>1</v>
      </c>
      <c r="B785" s="27">
        <v>1</v>
      </c>
      <c r="E785" s="25" t="s">
        <v>664</v>
      </c>
      <c r="F785" s="22" t="s">
        <v>267</v>
      </c>
      <c r="G785" s="29" t="s">
        <v>671</v>
      </c>
      <c r="H785" s="20" t="s">
        <v>665</v>
      </c>
      <c r="I785" s="85" t="s">
        <v>920</v>
      </c>
      <c r="J785" s="20" t="s">
        <v>931</v>
      </c>
      <c r="K785" s="37" t="s">
        <v>22</v>
      </c>
      <c r="L785" s="32">
        <v>107650</v>
      </c>
      <c r="O785" s="1" t="s">
        <v>913</v>
      </c>
    </row>
    <row r="786" spans="1:15" x14ac:dyDescent="0.2">
      <c r="A786" s="46">
        <f t="shared" si="20"/>
        <v>2</v>
      </c>
      <c r="B786" s="27">
        <v>1</v>
      </c>
      <c r="C786" s="27">
        <v>1</v>
      </c>
      <c r="E786" s="25" t="s">
        <v>664</v>
      </c>
      <c r="F786" s="22" t="s">
        <v>27</v>
      </c>
      <c r="G786" s="29" t="s">
        <v>671</v>
      </c>
      <c r="H786" s="20" t="s">
        <v>665</v>
      </c>
      <c r="I786" s="85" t="s">
        <v>920</v>
      </c>
      <c r="J786" s="20" t="s">
        <v>931</v>
      </c>
      <c r="K786" s="37" t="s">
        <v>22</v>
      </c>
      <c r="L786" s="32">
        <v>107604</v>
      </c>
      <c r="O786" s="1" t="s">
        <v>907</v>
      </c>
    </row>
    <row r="787" spans="1:15" x14ac:dyDescent="0.2">
      <c r="A787" s="46">
        <f t="shared" si="20"/>
        <v>3</v>
      </c>
      <c r="B787" s="27">
        <v>1</v>
      </c>
      <c r="C787" s="27">
        <v>2</v>
      </c>
      <c r="E787" s="25" t="s">
        <v>664</v>
      </c>
      <c r="F787" s="22" t="s">
        <v>670</v>
      </c>
      <c r="G787" s="29" t="s">
        <v>671</v>
      </c>
      <c r="H787" s="20" t="s">
        <v>665</v>
      </c>
      <c r="I787" s="85" t="s">
        <v>920</v>
      </c>
      <c r="J787" s="20" t="s">
        <v>931</v>
      </c>
      <c r="K787" s="37" t="s">
        <v>22</v>
      </c>
      <c r="L787" s="32">
        <v>107636</v>
      </c>
      <c r="N787" s="1" t="s">
        <v>886</v>
      </c>
      <c r="O787" s="1" t="s">
        <v>907</v>
      </c>
    </row>
    <row r="788" spans="1:15" x14ac:dyDescent="0.2">
      <c r="A788" s="46">
        <f t="shared" si="20"/>
        <v>3</v>
      </c>
      <c r="B788" s="27">
        <v>1</v>
      </c>
      <c r="C788" s="27">
        <v>2</v>
      </c>
      <c r="E788" s="25" t="s">
        <v>664</v>
      </c>
      <c r="F788" s="22" t="s">
        <v>85</v>
      </c>
      <c r="G788" s="29" t="s">
        <v>671</v>
      </c>
      <c r="H788" s="20" t="s">
        <v>665</v>
      </c>
      <c r="I788" s="85" t="s">
        <v>920</v>
      </c>
      <c r="J788" s="20" t="s">
        <v>931</v>
      </c>
      <c r="K788" s="37" t="s">
        <v>22</v>
      </c>
      <c r="L788" s="32">
        <v>107632</v>
      </c>
      <c r="N788" s="1" t="s">
        <v>891</v>
      </c>
      <c r="O788" s="1" t="s">
        <v>908</v>
      </c>
    </row>
    <row r="789" spans="1:15" x14ac:dyDescent="0.2">
      <c r="A789" s="46">
        <f t="shared" si="20"/>
        <v>2</v>
      </c>
      <c r="B789" s="27">
        <v>1</v>
      </c>
      <c r="C789" s="27">
        <v>1</v>
      </c>
      <c r="E789" s="25" t="s">
        <v>664</v>
      </c>
      <c r="F789" s="22" t="s">
        <v>250</v>
      </c>
      <c r="G789" s="29" t="s">
        <v>671</v>
      </c>
      <c r="H789" s="20" t="s">
        <v>665</v>
      </c>
      <c r="I789" s="85" t="s">
        <v>920</v>
      </c>
      <c r="J789" s="20" t="s">
        <v>931</v>
      </c>
      <c r="K789" s="37" t="s">
        <v>22</v>
      </c>
      <c r="L789" s="32">
        <v>107641</v>
      </c>
      <c r="N789" s="1" t="s">
        <v>886</v>
      </c>
      <c r="O789" s="1" t="s">
        <v>907</v>
      </c>
    </row>
    <row r="790" spans="1:15" x14ac:dyDescent="0.2">
      <c r="A790" s="46">
        <f t="shared" si="20"/>
        <v>2</v>
      </c>
      <c r="B790" s="27">
        <v>1</v>
      </c>
      <c r="C790" s="27">
        <v>1</v>
      </c>
      <c r="E790" s="25" t="s">
        <v>664</v>
      </c>
      <c r="F790" s="22" t="s">
        <v>88</v>
      </c>
      <c r="G790" s="29" t="s">
        <v>671</v>
      </c>
      <c r="H790" s="20" t="s">
        <v>665</v>
      </c>
      <c r="I790" s="85" t="s">
        <v>920</v>
      </c>
      <c r="J790" s="20" t="s">
        <v>931</v>
      </c>
      <c r="K790" s="37" t="s">
        <v>22</v>
      </c>
      <c r="L790" s="32">
        <v>107645</v>
      </c>
      <c r="N790" s="4" t="s">
        <v>890</v>
      </c>
      <c r="O790" s="1" t="s">
        <v>907</v>
      </c>
    </row>
    <row r="791" spans="1:15" x14ac:dyDescent="0.2">
      <c r="A791" s="46">
        <f t="shared" si="20"/>
        <v>1</v>
      </c>
      <c r="B791" s="27">
        <v>1</v>
      </c>
      <c r="D791" s="27">
        <v>1</v>
      </c>
      <c r="E791" s="25" t="s">
        <v>664</v>
      </c>
      <c r="F791" s="22" t="s">
        <v>668</v>
      </c>
      <c r="G791" s="29" t="s">
        <v>13</v>
      </c>
      <c r="H791" s="20" t="s">
        <v>665</v>
      </c>
      <c r="I791" s="85"/>
      <c r="J791" s="20"/>
      <c r="K791" s="37" t="s">
        <v>48</v>
      </c>
      <c r="L791" s="32" t="s">
        <v>669</v>
      </c>
      <c r="N791" s="1" t="s">
        <v>888</v>
      </c>
      <c r="O791" s="1" t="s">
        <v>907</v>
      </c>
    </row>
    <row r="792" spans="1:15" x14ac:dyDescent="0.2">
      <c r="A792" s="46">
        <f t="shared" si="20"/>
        <v>1</v>
      </c>
      <c r="B792" s="27">
        <v>1</v>
      </c>
      <c r="E792" s="25" t="s">
        <v>664</v>
      </c>
      <c r="F792" s="22" t="s">
        <v>33</v>
      </c>
      <c r="G792" s="29" t="s">
        <v>671</v>
      </c>
      <c r="H792" s="30" t="s">
        <v>660</v>
      </c>
      <c r="I792" s="84"/>
      <c r="J792" s="30"/>
      <c r="K792" s="37" t="s">
        <v>591</v>
      </c>
      <c r="L792" s="31">
        <v>553552</v>
      </c>
      <c r="O792" s="1" t="s">
        <v>907</v>
      </c>
    </row>
    <row r="793" spans="1:15" x14ac:dyDescent="0.2">
      <c r="A793" s="46">
        <f t="shared" si="20"/>
        <v>3</v>
      </c>
      <c r="B793" s="27">
        <v>1</v>
      </c>
      <c r="C793" s="27">
        <v>2</v>
      </c>
      <c r="E793" s="25" t="s">
        <v>664</v>
      </c>
      <c r="F793" s="22" t="s">
        <v>90</v>
      </c>
      <c r="G793" s="29" t="s">
        <v>671</v>
      </c>
      <c r="H793" s="20" t="s">
        <v>665</v>
      </c>
      <c r="I793" s="85" t="s">
        <v>920</v>
      </c>
      <c r="J793" s="20" t="s">
        <v>931</v>
      </c>
      <c r="K793" s="37" t="s">
        <v>22</v>
      </c>
      <c r="L793" s="32">
        <v>107625</v>
      </c>
      <c r="N793" s="1">
        <v>1000</v>
      </c>
      <c r="O793" s="1" t="s">
        <v>907</v>
      </c>
    </row>
    <row r="794" spans="1:15" x14ac:dyDescent="0.2">
      <c r="A794" s="46">
        <f t="shared" si="20"/>
        <v>1</v>
      </c>
      <c r="B794" s="27">
        <v>1</v>
      </c>
      <c r="E794" s="25" t="s">
        <v>664</v>
      </c>
      <c r="F794" s="22" t="s">
        <v>586</v>
      </c>
      <c r="G794" s="29" t="s">
        <v>671</v>
      </c>
      <c r="H794" s="20" t="s">
        <v>665</v>
      </c>
      <c r="I794" s="85" t="s">
        <v>920</v>
      </c>
      <c r="J794" s="20" t="s">
        <v>931</v>
      </c>
      <c r="K794" s="37" t="s">
        <v>22</v>
      </c>
      <c r="L794" s="32">
        <v>107602</v>
      </c>
      <c r="O794" s="1" t="s">
        <v>907</v>
      </c>
    </row>
    <row r="795" spans="1:15" x14ac:dyDescent="0.2">
      <c r="A795" s="46">
        <f t="shared" si="20"/>
        <v>1</v>
      </c>
      <c r="B795" s="27">
        <v>1</v>
      </c>
      <c r="E795" s="25" t="s">
        <v>664</v>
      </c>
      <c r="F795" s="22" t="s">
        <v>666</v>
      </c>
      <c r="G795" s="29" t="s">
        <v>13</v>
      </c>
      <c r="H795" s="20" t="s">
        <v>665</v>
      </c>
      <c r="I795" s="85"/>
      <c r="J795" s="20"/>
      <c r="K795" s="37" t="s">
        <v>48</v>
      </c>
      <c r="L795" s="32" t="s">
        <v>667</v>
      </c>
      <c r="O795" s="1" t="s">
        <v>907</v>
      </c>
    </row>
    <row r="796" spans="1:15" x14ac:dyDescent="0.2">
      <c r="A796" s="46">
        <f t="shared" si="20"/>
        <v>4</v>
      </c>
      <c r="B796" s="27">
        <v>1</v>
      </c>
      <c r="C796" s="27">
        <v>3</v>
      </c>
      <c r="E796" s="25" t="s">
        <v>672</v>
      </c>
      <c r="F796" s="22" t="s">
        <v>24</v>
      </c>
      <c r="G796" s="29"/>
      <c r="H796" s="30"/>
      <c r="I796" s="84"/>
      <c r="J796" s="30"/>
      <c r="K796" s="37" t="s">
        <v>20</v>
      </c>
      <c r="L796" s="31"/>
      <c r="O796" s="1" t="s">
        <v>907</v>
      </c>
    </row>
    <row r="797" spans="1:15" x14ac:dyDescent="0.2">
      <c r="A797" s="46">
        <f t="shared" si="20"/>
        <v>6</v>
      </c>
      <c r="B797" s="27">
        <v>1</v>
      </c>
      <c r="C797" s="27">
        <v>5</v>
      </c>
      <c r="D797" s="27">
        <v>1</v>
      </c>
      <c r="E797" s="25" t="s">
        <v>672</v>
      </c>
      <c r="F797" s="22" t="s">
        <v>27</v>
      </c>
      <c r="G797" s="29"/>
      <c r="H797" s="30" t="s">
        <v>673</v>
      </c>
      <c r="I797" s="84"/>
      <c r="J797" s="30"/>
      <c r="K797" s="37" t="s">
        <v>20</v>
      </c>
      <c r="L797" s="31"/>
      <c r="O797" s="1" t="s">
        <v>907</v>
      </c>
    </row>
    <row r="798" spans="1:15" x14ac:dyDescent="0.2">
      <c r="A798" s="46">
        <f t="shared" si="20"/>
        <v>1</v>
      </c>
      <c r="B798" s="27">
        <v>1</v>
      </c>
      <c r="E798" s="25" t="s">
        <v>674</v>
      </c>
      <c r="F798" s="22" t="s">
        <v>12</v>
      </c>
      <c r="G798" s="29" t="s">
        <v>675</v>
      </c>
      <c r="H798" s="30" t="s">
        <v>676</v>
      </c>
      <c r="I798" s="84"/>
      <c r="J798" s="30"/>
      <c r="K798" s="37" t="s">
        <v>20</v>
      </c>
      <c r="L798" s="31"/>
      <c r="O798" s="1" t="s">
        <v>907</v>
      </c>
    </row>
    <row r="799" spans="1:15" x14ac:dyDescent="0.2">
      <c r="A799" s="46">
        <f t="shared" si="20"/>
        <v>1</v>
      </c>
      <c r="B799" s="27">
        <v>1</v>
      </c>
      <c r="E799" s="25" t="s">
        <v>677</v>
      </c>
      <c r="F799" s="22" t="s">
        <v>27</v>
      </c>
      <c r="G799" s="29" t="s">
        <v>13</v>
      </c>
      <c r="H799" s="30" t="s">
        <v>13</v>
      </c>
      <c r="I799" s="84"/>
      <c r="J799" s="30"/>
      <c r="K799" s="37" t="s">
        <v>72</v>
      </c>
      <c r="L799" s="31" t="s">
        <v>13</v>
      </c>
      <c r="O799" s="1" t="s">
        <v>907</v>
      </c>
    </row>
    <row r="800" spans="1:15" x14ac:dyDescent="0.2">
      <c r="A800" s="46">
        <f t="shared" si="20"/>
        <v>2</v>
      </c>
      <c r="B800" s="27">
        <v>1</v>
      </c>
      <c r="C800" s="27">
        <v>1</v>
      </c>
      <c r="E800" s="25" t="s">
        <v>678</v>
      </c>
      <c r="F800" s="22" t="s">
        <v>33</v>
      </c>
      <c r="G800" s="29" t="s">
        <v>679</v>
      </c>
      <c r="H800" s="20" t="s">
        <v>680</v>
      </c>
      <c r="I800" s="85"/>
      <c r="J800" s="20"/>
      <c r="K800" s="37" t="s">
        <v>48</v>
      </c>
      <c r="L800" s="32" t="s">
        <v>681</v>
      </c>
      <c r="O800" s="1" t="s">
        <v>907</v>
      </c>
    </row>
    <row r="801" spans="1:15" x14ac:dyDescent="0.2">
      <c r="A801" s="46">
        <f t="shared" si="20"/>
        <v>1</v>
      </c>
      <c r="B801" s="27">
        <v>1</v>
      </c>
      <c r="E801" s="25" t="s">
        <v>682</v>
      </c>
      <c r="F801" s="22" t="s">
        <v>12</v>
      </c>
      <c r="G801" s="29"/>
      <c r="H801" s="30" t="s">
        <v>683</v>
      </c>
      <c r="I801" s="84"/>
      <c r="J801" s="30"/>
      <c r="K801" s="37" t="s">
        <v>22</v>
      </c>
      <c r="L801" s="31">
        <v>532304</v>
      </c>
      <c r="O801" s="1" t="s">
        <v>907</v>
      </c>
    </row>
    <row r="802" spans="1:15" x14ac:dyDescent="0.2">
      <c r="A802" s="46">
        <f t="shared" si="20"/>
        <v>1</v>
      </c>
      <c r="B802" s="27">
        <v>1</v>
      </c>
      <c r="E802" s="25" t="s">
        <v>684</v>
      </c>
      <c r="F802" s="22" t="s">
        <v>33</v>
      </c>
      <c r="G802" s="29"/>
      <c r="H802" s="30"/>
      <c r="I802" s="84"/>
      <c r="J802" s="30"/>
      <c r="K802" s="37" t="s">
        <v>247</v>
      </c>
      <c r="L802" s="31">
        <v>553858</v>
      </c>
      <c r="O802" s="1" t="s">
        <v>907</v>
      </c>
    </row>
    <row r="803" spans="1:15" x14ac:dyDescent="0.2">
      <c r="A803" s="46">
        <f t="shared" si="20"/>
        <v>1</v>
      </c>
      <c r="B803" s="27">
        <v>1</v>
      </c>
      <c r="E803" s="25" t="s">
        <v>685</v>
      </c>
      <c r="F803" s="22" t="s">
        <v>33</v>
      </c>
      <c r="G803" s="29" t="s">
        <v>262</v>
      </c>
      <c r="H803" s="30"/>
      <c r="I803" s="84"/>
      <c r="J803" s="30"/>
      <c r="K803" s="37" t="s">
        <v>247</v>
      </c>
      <c r="L803" s="31" t="s">
        <v>686</v>
      </c>
      <c r="O803" s="1" t="s">
        <v>907</v>
      </c>
    </row>
    <row r="804" spans="1:15" x14ac:dyDescent="0.2">
      <c r="A804" s="46">
        <f t="shared" si="20"/>
        <v>1</v>
      </c>
      <c r="B804" s="27">
        <v>1</v>
      </c>
      <c r="E804" s="25" t="s">
        <v>687</v>
      </c>
      <c r="F804" s="22" t="s">
        <v>26</v>
      </c>
      <c r="G804" s="29" t="s">
        <v>13</v>
      </c>
      <c r="H804" s="30" t="s">
        <v>13</v>
      </c>
      <c r="I804" s="84"/>
      <c r="J804" s="30"/>
      <c r="K804" s="37" t="s">
        <v>17</v>
      </c>
      <c r="L804" s="31" t="s">
        <v>13</v>
      </c>
      <c r="O804" s="1" t="s">
        <v>907</v>
      </c>
    </row>
    <row r="805" spans="1:15" x14ac:dyDescent="0.2">
      <c r="A805" s="46">
        <f t="shared" si="20"/>
        <v>5</v>
      </c>
      <c r="B805" s="27">
        <v>1</v>
      </c>
      <c r="C805" s="27">
        <v>4</v>
      </c>
      <c r="E805" s="25" t="s">
        <v>687</v>
      </c>
      <c r="F805" s="22" t="s">
        <v>27</v>
      </c>
      <c r="G805" s="29" t="s">
        <v>872</v>
      </c>
      <c r="H805" s="20" t="s">
        <v>688</v>
      </c>
      <c r="I805" s="85" t="s">
        <v>920</v>
      </c>
      <c r="J805" s="20" t="s">
        <v>946</v>
      </c>
      <c r="K805" s="37" t="s">
        <v>22</v>
      </c>
      <c r="L805" s="32">
        <v>108704</v>
      </c>
      <c r="O805" s="1" t="s">
        <v>907</v>
      </c>
    </row>
    <row r="806" spans="1:15" x14ac:dyDescent="0.2">
      <c r="A806" s="46">
        <f t="shared" si="20"/>
        <v>2</v>
      </c>
      <c r="B806" s="27">
        <v>1</v>
      </c>
      <c r="C806" s="27">
        <v>1</v>
      </c>
      <c r="E806" s="25" t="s">
        <v>687</v>
      </c>
      <c r="F806" s="22" t="s">
        <v>27</v>
      </c>
      <c r="G806" s="29" t="s">
        <v>13</v>
      </c>
      <c r="H806" s="20" t="s">
        <v>13</v>
      </c>
      <c r="I806" s="85"/>
      <c r="J806" s="20"/>
      <c r="K806" s="37" t="s">
        <v>76</v>
      </c>
      <c r="L806" s="32" t="s">
        <v>13</v>
      </c>
      <c r="N806" s="1" t="s">
        <v>886</v>
      </c>
      <c r="O806" s="1" t="s">
        <v>907</v>
      </c>
    </row>
    <row r="807" spans="1:15" x14ac:dyDescent="0.2">
      <c r="A807" s="46">
        <f t="shared" ref="A807:A838" si="21">B807+C807</f>
        <v>1</v>
      </c>
      <c r="B807" s="27">
        <v>1</v>
      </c>
      <c r="E807" s="25" t="s">
        <v>687</v>
      </c>
      <c r="F807" s="22" t="s">
        <v>108</v>
      </c>
      <c r="G807" s="29"/>
      <c r="H807" s="30" t="s">
        <v>688</v>
      </c>
      <c r="I807" s="84" t="s">
        <v>920</v>
      </c>
      <c r="J807" s="30" t="s">
        <v>967</v>
      </c>
      <c r="K807" s="37" t="s">
        <v>203</v>
      </c>
      <c r="L807" s="31">
        <v>741062</v>
      </c>
      <c r="O807" s="1" t="s">
        <v>907</v>
      </c>
    </row>
    <row r="808" spans="1:15" x14ac:dyDescent="0.2">
      <c r="A808" s="46">
        <f t="shared" si="21"/>
        <v>3</v>
      </c>
      <c r="B808" s="27">
        <v>1</v>
      </c>
      <c r="C808" s="27">
        <v>2</v>
      </c>
      <c r="E808" s="25" t="s">
        <v>687</v>
      </c>
      <c r="F808" s="22" t="s">
        <v>85</v>
      </c>
      <c r="G808" s="29" t="s">
        <v>872</v>
      </c>
      <c r="H808" s="20" t="s">
        <v>688</v>
      </c>
      <c r="I808" s="85" t="s">
        <v>920</v>
      </c>
      <c r="J808" s="20" t="s">
        <v>946</v>
      </c>
      <c r="K808" s="37" t="s">
        <v>22</v>
      </c>
      <c r="L808" s="32">
        <v>108732</v>
      </c>
      <c r="O808" s="1" t="s">
        <v>907</v>
      </c>
    </row>
    <row r="809" spans="1:15" x14ac:dyDescent="0.2">
      <c r="A809" s="46">
        <f t="shared" si="21"/>
        <v>2</v>
      </c>
      <c r="B809" s="27">
        <v>1</v>
      </c>
      <c r="C809" s="27">
        <v>1</v>
      </c>
      <c r="E809" s="25" t="s">
        <v>687</v>
      </c>
      <c r="F809" s="22" t="s">
        <v>66</v>
      </c>
      <c r="G809" s="29" t="s">
        <v>872</v>
      </c>
      <c r="H809" s="20" t="s">
        <v>688</v>
      </c>
      <c r="I809" s="85" t="s">
        <v>920</v>
      </c>
      <c r="J809" s="20" t="s">
        <v>946</v>
      </c>
      <c r="K809" s="37" t="s">
        <v>22</v>
      </c>
      <c r="L809" s="32">
        <v>108740</v>
      </c>
      <c r="N809" s="1" t="s">
        <v>889</v>
      </c>
      <c r="O809" s="1" t="s">
        <v>907</v>
      </c>
    </row>
    <row r="810" spans="1:15" x14ac:dyDescent="0.2">
      <c r="A810" s="46">
        <f t="shared" si="21"/>
        <v>1</v>
      </c>
      <c r="B810" s="27">
        <v>1</v>
      </c>
      <c r="E810" s="25" t="s">
        <v>687</v>
      </c>
      <c r="F810" s="22" t="s">
        <v>354</v>
      </c>
      <c r="G810" s="29" t="s">
        <v>13</v>
      </c>
      <c r="H810" s="20" t="s">
        <v>688</v>
      </c>
      <c r="I810" s="85"/>
      <c r="J810" s="20"/>
      <c r="K810" s="37" t="s">
        <v>48</v>
      </c>
      <c r="L810" s="32" t="s">
        <v>689</v>
      </c>
      <c r="M810" t="s">
        <v>3</v>
      </c>
      <c r="N810" s="1" t="s">
        <v>888</v>
      </c>
      <c r="O810" s="1" t="s">
        <v>907</v>
      </c>
    </row>
    <row r="811" spans="1:15" x14ac:dyDescent="0.2">
      <c r="A811" s="46">
        <f t="shared" si="21"/>
        <v>1</v>
      </c>
      <c r="B811" s="27">
        <v>1</v>
      </c>
      <c r="E811" s="25" t="s">
        <v>687</v>
      </c>
      <c r="F811" s="22" t="s">
        <v>30</v>
      </c>
      <c r="G811" s="29" t="s">
        <v>13</v>
      </c>
      <c r="H811" s="30" t="s">
        <v>688</v>
      </c>
      <c r="I811" s="84"/>
      <c r="J811" s="30"/>
      <c r="K811" s="37" t="s">
        <v>31</v>
      </c>
      <c r="L811" s="31">
        <v>553164</v>
      </c>
      <c r="O811" s="1" t="s">
        <v>907</v>
      </c>
    </row>
    <row r="812" spans="1:15" x14ac:dyDescent="0.2">
      <c r="A812" s="46">
        <f t="shared" si="21"/>
        <v>2</v>
      </c>
      <c r="B812" s="27">
        <v>1</v>
      </c>
      <c r="C812" s="27">
        <v>1</v>
      </c>
      <c r="E812" s="25" t="s">
        <v>687</v>
      </c>
      <c r="F812" s="22" t="s">
        <v>30</v>
      </c>
      <c r="G812" s="29" t="s">
        <v>872</v>
      </c>
      <c r="H812" s="30" t="s">
        <v>688</v>
      </c>
      <c r="I812" s="85" t="s">
        <v>920</v>
      </c>
      <c r="J812" s="20" t="s">
        <v>946</v>
      </c>
      <c r="K812" s="37" t="s">
        <v>22</v>
      </c>
      <c r="L812" s="31">
        <v>108706</v>
      </c>
      <c r="O812" s="1" t="s">
        <v>907</v>
      </c>
    </row>
    <row r="813" spans="1:15" x14ac:dyDescent="0.2">
      <c r="A813" s="46">
        <f t="shared" si="21"/>
        <v>1</v>
      </c>
      <c r="B813" s="27">
        <v>1</v>
      </c>
      <c r="E813" s="25" t="s">
        <v>687</v>
      </c>
      <c r="F813" s="22" t="s">
        <v>33</v>
      </c>
      <c r="G813" s="29"/>
      <c r="H813" s="30" t="s">
        <v>688</v>
      </c>
      <c r="I813" s="84"/>
      <c r="J813" s="30"/>
      <c r="K813" s="37" t="s">
        <v>39</v>
      </c>
      <c r="L813" s="31">
        <v>553165</v>
      </c>
      <c r="O813" s="1" t="s">
        <v>907</v>
      </c>
    </row>
    <row r="814" spans="1:15" x14ac:dyDescent="0.2">
      <c r="A814" s="46">
        <f t="shared" si="21"/>
        <v>2</v>
      </c>
      <c r="B814" s="27">
        <v>1</v>
      </c>
      <c r="C814" s="27">
        <v>1</v>
      </c>
      <c r="D814" s="27">
        <v>1</v>
      </c>
      <c r="E814" s="25" t="s">
        <v>687</v>
      </c>
      <c r="F814" s="22" t="s">
        <v>33</v>
      </c>
      <c r="G814" s="29" t="s">
        <v>872</v>
      </c>
      <c r="H814" s="30" t="s">
        <v>688</v>
      </c>
      <c r="I814" s="85" t="s">
        <v>920</v>
      </c>
      <c r="J814" s="20" t="s">
        <v>946</v>
      </c>
      <c r="K814" s="37" t="s">
        <v>22</v>
      </c>
      <c r="L814" s="31">
        <v>108708</v>
      </c>
      <c r="O814" s="1" t="s">
        <v>907</v>
      </c>
    </row>
    <row r="815" spans="1:15" x14ac:dyDescent="0.2">
      <c r="A815" s="46">
        <f t="shared" si="21"/>
        <v>2</v>
      </c>
      <c r="B815" s="27">
        <v>1</v>
      </c>
      <c r="C815" s="27">
        <v>1</v>
      </c>
      <c r="E815" s="25" t="s">
        <v>687</v>
      </c>
      <c r="F815" s="22" t="s">
        <v>124</v>
      </c>
      <c r="G815" s="29" t="s">
        <v>13</v>
      </c>
      <c r="H815" s="20" t="s">
        <v>688</v>
      </c>
      <c r="I815" s="85"/>
      <c r="J815" s="20"/>
      <c r="K815" s="37" t="s">
        <v>203</v>
      </c>
      <c r="L815" s="32">
        <v>552878</v>
      </c>
      <c r="O815" s="1" t="s">
        <v>907</v>
      </c>
    </row>
    <row r="816" spans="1:15" x14ac:dyDescent="0.2">
      <c r="A816" s="46">
        <f t="shared" si="21"/>
        <v>1</v>
      </c>
      <c r="B816" s="27">
        <v>1</v>
      </c>
      <c r="E816" s="25" t="s">
        <v>687</v>
      </c>
      <c r="F816" s="22" t="s">
        <v>124</v>
      </c>
      <c r="G816" s="29" t="s">
        <v>872</v>
      </c>
      <c r="H816" s="20" t="s">
        <v>688</v>
      </c>
      <c r="I816" s="85" t="s">
        <v>920</v>
      </c>
      <c r="J816" s="20" t="s">
        <v>946</v>
      </c>
      <c r="K816" s="37" t="s">
        <v>22</v>
      </c>
      <c r="L816" s="32">
        <v>108714</v>
      </c>
      <c r="O816" s="1" t="s">
        <v>907</v>
      </c>
    </row>
    <row r="817" spans="1:18" x14ac:dyDescent="0.2">
      <c r="A817" s="46">
        <f t="shared" si="21"/>
        <v>2</v>
      </c>
      <c r="B817" s="27">
        <v>1</v>
      </c>
      <c r="C817" s="27">
        <v>1</v>
      </c>
      <c r="E817" s="25" t="s">
        <v>687</v>
      </c>
      <c r="F817" s="22" t="s">
        <v>105</v>
      </c>
      <c r="G817" s="29" t="s">
        <v>872</v>
      </c>
      <c r="H817" s="30" t="s">
        <v>688</v>
      </c>
      <c r="I817" s="85" t="s">
        <v>920</v>
      </c>
      <c r="J817" s="20" t="s">
        <v>946</v>
      </c>
      <c r="K817" s="37" t="s">
        <v>22</v>
      </c>
      <c r="L817" s="31">
        <v>108748</v>
      </c>
      <c r="O817" s="1" t="s">
        <v>907</v>
      </c>
    </row>
    <row r="818" spans="1:18" x14ac:dyDescent="0.2">
      <c r="A818" s="46">
        <f t="shared" si="21"/>
        <v>1</v>
      </c>
      <c r="B818" s="27">
        <v>1</v>
      </c>
      <c r="E818" s="25" t="s">
        <v>687</v>
      </c>
      <c r="F818" s="22" t="s">
        <v>1203</v>
      </c>
      <c r="G818" s="29" t="s">
        <v>872</v>
      </c>
      <c r="H818" s="20" t="s">
        <v>688</v>
      </c>
      <c r="I818" s="85" t="s">
        <v>920</v>
      </c>
      <c r="J818" s="20" t="s">
        <v>946</v>
      </c>
      <c r="K818" s="37" t="s">
        <v>22</v>
      </c>
      <c r="L818" s="31">
        <v>108770</v>
      </c>
      <c r="O818" s="1" t="s">
        <v>907</v>
      </c>
    </row>
    <row r="819" spans="1:18" x14ac:dyDescent="0.2">
      <c r="A819" s="46">
        <f t="shared" si="21"/>
        <v>1</v>
      </c>
      <c r="B819" s="27">
        <v>1</v>
      </c>
      <c r="E819" s="25" t="s">
        <v>690</v>
      </c>
      <c r="F819" s="22" t="s">
        <v>33</v>
      </c>
      <c r="G819" s="29"/>
      <c r="H819" s="30" t="s">
        <v>691</v>
      </c>
      <c r="I819" s="84"/>
      <c r="J819" s="30"/>
      <c r="K819" s="37" t="s">
        <v>48</v>
      </c>
      <c r="L819" s="65" t="s">
        <v>692</v>
      </c>
      <c r="O819" s="1" t="s">
        <v>907</v>
      </c>
    </row>
    <row r="820" spans="1:18" x14ac:dyDescent="0.2">
      <c r="A820" s="46">
        <f t="shared" si="21"/>
        <v>0</v>
      </c>
      <c r="E820" s="25" t="s">
        <v>693</v>
      </c>
      <c r="F820" s="22" t="s">
        <v>33</v>
      </c>
      <c r="G820" s="29" t="s">
        <v>13</v>
      </c>
      <c r="H820" s="20" t="s">
        <v>299</v>
      </c>
      <c r="I820" s="85"/>
      <c r="J820" s="20"/>
      <c r="K820" s="37" t="s">
        <v>22</v>
      </c>
      <c r="L820" s="32">
        <v>137604</v>
      </c>
      <c r="O820" s="1" t="s">
        <v>907</v>
      </c>
    </row>
    <row r="821" spans="1:18" x14ac:dyDescent="0.2">
      <c r="A821" s="46">
        <f t="shared" si="21"/>
        <v>1</v>
      </c>
      <c r="B821" s="27">
        <v>1</v>
      </c>
      <c r="E821" s="25" t="s">
        <v>694</v>
      </c>
      <c r="F821" s="22" t="s">
        <v>42</v>
      </c>
      <c r="G821" s="29" t="s">
        <v>695</v>
      </c>
      <c r="H821" s="20" t="s">
        <v>696</v>
      </c>
      <c r="I821" s="85"/>
      <c r="J821" s="20"/>
      <c r="K821" s="37" t="s">
        <v>22</v>
      </c>
      <c r="L821" s="32">
        <v>130613</v>
      </c>
      <c r="O821" s="1" t="s">
        <v>907</v>
      </c>
    </row>
    <row r="822" spans="1:18" x14ac:dyDescent="0.2">
      <c r="A822" s="46">
        <f t="shared" si="21"/>
        <v>1</v>
      </c>
      <c r="B822" s="27">
        <v>1</v>
      </c>
      <c r="E822" s="25" t="s">
        <v>697</v>
      </c>
      <c r="F822" s="22" t="s">
        <v>16</v>
      </c>
      <c r="G822" s="29" t="s">
        <v>695</v>
      </c>
      <c r="H822" s="20" t="s">
        <v>696</v>
      </c>
      <c r="I822" s="85"/>
      <c r="J822" s="20"/>
      <c r="K822" s="37" t="s">
        <v>22</v>
      </c>
      <c r="L822" s="32">
        <v>130605</v>
      </c>
      <c r="O822" s="1" t="s">
        <v>907</v>
      </c>
    </row>
    <row r="823" spans="1:18" x14ac:dyDescent="0.2">
      <c r="A823" s="46">
        <f t="shared" si="21"/>
        <v>0</v>
      </c>
      <c r="E823" s="25" t="s">
        <v>694</v>
      </c>
      <c r="F823" s="22" t="s">
        <v>16</v>
      </c>
      <c r="G823" s="29" t="s">
        <v>695</v>
      </c>
      <c r="H823" s="28">
        <v>2200000</v>
      </c>
      <c r="I823" s="99"/>
      <c r="J823" s="28"/>
      <c r="K823" s="37" t="s">
        <v>698</v>
      </c>
      <c r="L823" s="32" t="s">
        <v>699</v>
      </c>
      <c r="N823" s="4" t="s">
        <v>900</v>
      </c>
      <c r="O823" s="1" t="s">
        <v>907</v>
      </c>
    </row>
    <row r="824" spans="1:18" x14ac:dyDescent="0.2">
      <c r="A824" s="46">
        <f t="shared" si="21"/>
        <v>1</v>
      </c>
      <c r="B824" s="27">
        <v>1</v>
      </c>
      <c r="E824" s="25" t="s">
        <v>1092</v>
      </c>
      <c r="F824" s="22" t="s">
        <v>33</v>
      </c>
      <c r="G824" s="29" t="s">
        <v>1094</v>
      </c>
      <c r="H824" s="28" t="s">
        <v>1093</v>
      </c>
      <c r="I824" s="99" t="s">
        <v>920</v>
      </c>
      <c r="J824" s="28" t="s">
        <v>317</v>
      </c>
      <c r="K824" s="37" t="s">
        <v>22</v>
      </c>
      <c r="L824" s="32">
        <v>130507</v>
      </c>
      <c r="O824" s="1"/>
    </row>
    <row r="825" spans="1:18" x14ac:dyDescent="0.2">
      <c r="A825" s="46">
        <f t="shared" si="21"/>
        <v>1</v>
      </c>
      <c r="B825" s="27">
        <v>1</v>
      </c>
      <c r="E825" s="25" t="s">
        <v>700</v>
      </c>
      <c r="F825" s="22" t="s">
        <v>57</v>
      </c>
      <c r="G825" s="29"/>
      <c r="H825" s="30"/>
      <c r="I825" s="84"/>
      <c r="J825" s="30"/>
      <c r="K825" s="37" t="s">
        <v>17</v>
      </c>
      <c r="L825" s="31"/>
      <c r="O825" s="1" t="s">
        <v>907</v>
      </c>
    </row>
    <row r="826" spans="1:18" x14ac:dyDescent="0.2">
      <c r="A826" s="46">
        <f t="shared" si="21"/>
        <v>1</v>
      </c>
      <c r="B826" s="27">
        <v>1</v>
      </c>
      <c r="E826" s="25" t="s">
        <v>701</v>
      </c>
      <c r="F826" s="22" t="s">
        <v>24</v>
      </c>
      <c r="G826" s="29"/>
      <c r="H826" s="30">
        <v>6.5</v>
      </c>
      <c r="I826" s="84"/>
      <c r="J826" s="30"/>
      <c r="K826" s="37" t="s">
        <v>20</v>
      </c>
      <c r="L826" s="31"/>
      <c r="O826" s="1" t="s">
        <v>907</v>
      </c>
    </row>
    <row r="827" spans="1:18" x14ac:dyDescent="0.2">
      <c r="A827" s="46">
        <f t="shared" si="21"/>
        <v>1</v>
      </c>
      <c r="B827" s="27">
        <v>1</v>
      </c>
      <c r="E827" s="25" t="s">
        <v>701</v>
      </c>
      <c r="F827" s="22" t="s">
        <v>24</v>
      </c>
      <c r="G827" s="29" t="s">
        <v>13</v>
      </c>
      <c r="H827" s="30" t="s">
        <v>703</v>
      </c>
      <c r="I827" s="84"/>
      <c r="J827" s="30"/>
      <c r="K827" s="37" t="s">
        <v>20</v>
      </c>
      <c r="L827" s="31" t="s">
        <v>13</v>
      </c>
      <c r="O827" s="1" t="s">
        <v>907</v>
      </c>
    </row>
    <row r="828" spans="1:18" x14ac:dyDescent="0.2">
      <c r="A828" s="46">
        <f t="shared" si="21"/>
        <v>2</v>
      </c>
      <c r="B828" s="27">
        <v>1</v>
      </c>
      <c r="C828" s="27">
        <v>1</v>
      </c>
      <c r="E828" s="25" t="s">
        <v>704</v>
      </c>
      <c r="F828" s="22" t="s">
        <v>27</v>
      </c>
      <c r="G828" s="29" t="s">
        <v>13</v>
      </c>
      <c r="H828" s="30" t="s">
        <v>703</v>
      </c>
      <c r="I828" s="84"/>
      <c r="J828" s="30"/>
      <c r="K828" s="37" t="s">
        <v>20</v>
      </c>
      <c r="L828" s="31" t="s">
        <v>13</v>
      </c>
      <c r="M828" t="s">
        <v>523</v>
      </c>
      <c r="O828" s="1" t="s">
        <v>907</v>
      </c>
    </row>
    <row r="829" spans="1:18" s="1" customFormat="1" x14ac:dyDescent="0.2">
      <c r="A829" s="46">
        <f t="shared" si="21"/>
        <v>1</v>
      </c>
      <c r="B829" s="27">
        <v>1</v>
      </c>
      <c r="C829" s="27"/>
      <c r="D829" s="27"/>
      <c r="E829" s="25" t="s">
        <v>704</v>
      </c>
      <c r="F829" s="22" t="s">
        <v>27</v>
      </c>
      <c r="G829" s="29" t="s">
        <v>13</v>
      </c>
      <c r="H829" s="30">
        <v>4.62</v>
      </c>
      <c r="I829" s="84"/>
      <c r="J829" s="30"/>
      <c r="K829" s="37" t="s">
        <v>17</v>
      </c>
      <c r="L829" s="31" t="s">
        <v>13</v>
      </c>
      <c r="M829"/>
      <c r="O829" s="1" t="s">
        <v>907</v>
      </c>
      <c r="P829"/>
      <c r="Q829"/>
      <c r="R829"/>
    </row>
    <row r="830" spans="1:18" s="1" customFormat="1" x14ac:dyDescent="0.2">
      <c r="A830" s="46">
        <f t="shared" si="21"/>
        <v>2</v>
      </c>
      <c r="B830" s="27">
        <v>1</v>
      </c>
      <c r="C830" s="27">
        <v>1</v>
      </c>
      <c r="D830" s="27"/>
      <c r="E830" s="25" t="s">
        <v>701</v>
      </c>
      <c r="F830" s="22" t="s">
        <v>27</v>
      </c>
      <c r="G830" s="29"/>
      <c r="H830" s="30">
        <v>6.5</v>
      </c>
      <c r="I830" s="84"/>
      <c r="J830" s="30"/>
      <c r="K830" s="37" t="s">
        <v>20</v>
      </c>
      <c r="L830" s="31"/>
      <c r="M830"/>
      <c r="O830" s="1" t="s">
        <v>907</v>
      </c>
      <c r="P830"/>
      <c r="Q830"/>
      <c r="R830"/>
    </row>
    <row r="831" spans="1:18" s="1" customFormat="1" x14ac:dyDescent="0.2">
      <c r="A831" s="46">
        <f t="shared" si="21"/>
        <v>1</v>
      </c>
      <c r="B831" s="27">
        <v>1</v>
      </c>
      <c r="C831" s="27"/>
      <c r="D831" s="27"/>
      <c r="E831" s="25" t="s">
        <v>704</v>
      </c>
      <c r="F831" s="22" t="s">
        <v>27</v>
      </c>
      <c r="G831" s="29"/>
      <c r="H831" s="30" t="s">
        <v>705</v>
      </c>
      <c r="I831" s="84"/>
      <c r="J831" s="30"/>
      <c r="K831" s="37" t="s">
        <v>72</v>
      </c>
      <c r="L831" s="31"/>
      <c r="M831"/>
      <c r="O831" s="1" t="s">
        <v>907</v>
      </c>
      <c r="P831"/>
      <c r="Q831"/>
      <c r="R831"/>
    </row>
    <row r="832" spans="1:18" x14ac:dyDescent="0.2">
      <c r="A832" s="46">
        <f t="shared" si="21"/>
        <v>1</v>
      </c>
      <c r="B832" s="27">
        <v>1</v>
      </c>
      <c r="E832" s="25" t="s">
        <v>704</v>
      </c>
      <c r="F832" s="22" t="s">
        <v>27</v>
      </c>
      <c r="G832" s="29"/>
      <c r="H832" s="30" t="s">
        <v>706</v>
      </c>
      <c r="I832" s="84"/>
      <c r="J832" s="30"/>
      <c r="K832" s="37" t="s">
        <v>450</v>
      </c>
      <c r="L832" s="31"/>
      <c r="O832" s="1" t="s">
        <v>907</v>
      </c>
    </row>
    <row r="833" spans="1:15" x14ac:dyDescent="0.2">
      <c r="A833" s="46">
        <f t="shared" si="21"/>
        <v>1</v>
      </c>
      <c r="B833" s="27">
        <v>1</v>
      </c>
      <c r="E833" s="25" t="s">
        <v>701</v>
      </c>
      <c r="F833" s="22" t="s">
        <v>552</v>
      </c>
      <c r="G833" s="29"/>
      <c r="H833" s="30">
        <v>6.5</v>
      </c>
      <c r="I833" s="84"/>
      <c r="J833" s="30"/>
      <c r="K833" s="37" t="s">
        <v>20</v>
      </c>
      <c r="L833" s="31"/>
      <c r="O833" s="1" t="s">
        <v>907</v>
      </c>
    </row>
    <row r="834" spans="1:15" x14ac:dyDescent="0.2">
      <c r="A834" s="46">
        <f t="shared" si="21"/>
        <v>1</v>
      </c>
      <c r="B834" s="27">
        <v>1</v>
      </c>
      <c r="E834" s="25" t="s">
        <v>701</v>
      </c>
      <c r="F834" s="22" t="s">
        <v>30</v>
      </c>
      <c r="G834" s="29" t="s">
        <v>13</v>
      </c>
      <c r="H834" s="30">
        <v>187.1</v>
      </c>
      <c r="I834" s="84"/>
      <c r="J834" s="30"/>
      <c r="K834" s="37" t="s">
        <v>17</v>
      </c>
      <c r="L834" s="31" t="s">
        <v>13</v>
      </c>
      <c r="M834" t="s">
        <v>702</v>
      </c>
      <c r="O834" s="1" t="s">
        <v>907</v>
      </c>
    </row>
    <row r="835" spans="1:15" x14ac:dyDescent="0.2">
      <c r="A835" s="46">
        <f t="shared" si="21"/>
        <v>1</v>
      </c>
      <c r="B835" s="27">
        <v>1</v>
      </c>
      <c r="E835" s="25" t="s">
        <v>990</v>
      </c>
      <c r="F835" s="22" t="s">
        <v>586</v>
      </c>
      <c r="G835" s="29"/>
      <c r="H835" s="30" t="s">
        <v>993</v>
      </c>
      <c r="I835" s="84" t="s">
        <v>920</v>
      </c>
      <c r="J835" s="30" t="s">
        <v>991</v>
      </c>
      <c r="K835" s="37" t="s">
        <v>870</v>
      </c>
      <c r="L835" s="31" t="s">
        <v>992</v>
      </c>
      <c r="M835" s="2" t="s">
        <v>1003</v>
      </c>
      <c r="O835" s="1" t="s">
        <v>995</v>
      </c>
    </row>
    <row r="836" spans="1:15" x14ac:dyDescent="0.2">
      <c r="A836" s="46">
        <f t="shared" si="21"/>
        <v>1</v>
      </c>
      <c r="B836" s="27">
        <v>1</v>
      </c>
      <c r="E836" s="25" t="s">
        <v>707</v>
      </c>
      <c r="F836" s="22" t="s">
        <v>30</v>
      </c>
      <c r="G836" s="29"/>
      <c r="H836" s="30"/>
      <c r="I836" s="84"/>
      <c r="J836" s="30"/>
      <c r="K836" s="37" t="s">
        <v>14</v>
      </c>
      <c r="L836" s="31"/>
      <c r="O836" s="1" t="s">
        <v>907</v>
      </c>
    </row>
    <row r="837" spans="1:15" x14ac:dyDescent="0.2">
      <c r="A837" s="46">
        <f t="shared" si="21"/>
        <v>1</v>
      </c>
      <c r="B837" s="27">
        <v>1</v>
      </c>
      <c r="E837" s="25" t="s">
        <v>708</v>
      </c>
      <c r="F837" s="22" t="s">
        <v>30</v>
      </c>
      <c r="G837" s="29" t="s">
        <v>13</v>
      </c>
      <c r="H837" s="20" t="s">
        <v>709</v>
      </c>
      <c r="I837" s="85"/>
      <c r="J837" s="20"/>
      <c r="K837" s="37" t="s">
        <v>48</v>
      </c>
      <c r="L837" s="32" t="s">
        <v>710</v>
      </c>
      <c r="O837" s="1" t="s">
        <v>907</v>
      </c>
    </row>
    <row r="838" spans="1:15" x14ac:dyDescent="0.2">
      <c r="A838" s="46">
        <f t="shared" si="21"/>
        <v>2</v>
      </c>
      <c r="B838" s="27">
        <v>1</v>
      </c>
      <c r="C838" s="27">
        <v>1</v>
      </c>
      <c r="E838" s="25" t="s">
        <v>711</v>
      </c>
      <c r="F838" s="22" t="s">
        <v>712</v>
      </c>
      <c r="G838" s="29" t="s">
        <v>13</v>
      </c>
      <c r="H838" s="24" t="s">
        <v>713</v>
      </c>
      <c r="I838" s="100"/>
      <c r="J838" s="24"/>
      <c r="K838" s="37" t="s">
        <v>48</v>
      </c>
      <c r="L838" s="32" t="s">
        <v>714</v>
      </c>
      <c r="O838" s="1" t="s">
        <v>907</v>
      </c>
    </row>
    <row r="839" spans="1:15" x14ac:dyDescent="0.2">
      <c r="A839" s="46">
        <f t="shared" ref="A839:A843" si="22">B839+C839</f>
        <v>0</v>
      </c>
      <c r="E839" s="25" t="s">
        <v>715</v>
      </c>
      <c r="F839" s="22" t="s">
        <v>716</v>
      </c>
      <c r="G839" s="29" t="s">
        <v>717</v>
      </c>
      <c r="H839" s="20" t="s">
        <v>718</v>
      </c>
      <c r="I839" s="85"/>
      <c r="J839" s="20"/>
      <c r="K839" s="37" t="s">
        <v>203</v>
      </c>
      <c r="L839" s="32">
        <v>552407</v>
      </c>
      <c r="O839" s="1" t="s">
        <v>907</v>
      </c>
    </row>
    <row r="840" spans="1:15" x14ac:dyDescent="0.2">
      <c r="A840" s="46">
        <f t="shared" si="22"/>
        <v>0</v>
      </c>
      <c r="E840" s="25" t="s">
        <v>719</v>
      </c>
      <c r="F840" s="22" t="s">
        <v>316</v>
      </c>
      <c r="G840" s="29" t="s">
        <v>13</v>
      </c>
      <c r="H840" s="20" t="s">
        <v>720</v>
      </c>
      <c r="I840" s="85"/>
      <c r="J840" s="20"/>
      <c r="K840" s="37" t="s">
        <v>721</v>
      </c>
      <c r="L840" s="32">
        <v>659003</v>
      </c>
      <c r="M840" t="s">
        <v>604</v>
      </c>
      <c r="O840" s="1" t="s">
        <v>907</v>
      </c>
    </row>
    <row r="841" spans="1:15" x14ac:dyDescent="0.2">
      <c r="A841" s="46">
        <f t="shared" si="22"/>
        <v>1</v>
      </c>
      <c r="B841" s="27">
        <v>1</v>
      </c>
      <c r="E841" s="25" t="s">
        <v>719</v>
      </c>
      <c r="F841" s="22" t="s">
        <v>316</v>
      </c>
      <c r="G841" s="29" t="s">
        <v>13</v>
      </c>
      <c r="H841" s="20" t="s">
        <v>720</v>
      </c>
      <c r="I841" s="85"/>
      <c r="J841" s="20"/>
      <c r="K841" s="37" t="s">
        <v>22</v>
      </c>
      <c r="L841" s="32">
        <v>658003</v>
      </c>
      <c r="M841" t="s">
        <v>604</v>
      </c>
      <c r="O841" s="1" t="s">
        <v>907</v>
      </c>
    </row>
    <row r="842" spans="1:15" x14ac:dyDescent="0.2">
      <c r="A842" s="46">
        <f t="shared" si="22"/>
        <v>0</v>
      </c>
      <c r="E842" s="25" t="s">
        <v>722</v>
      </c>
      <c r="F842" s="79" t="s">
        <v>32</v>
      </c>
      <c r="G842" s="45" t="s">
        <v>13</v>
      </c>
      <c r="H842" s="23" t="s">
        <v>723</v>
      </c>
      <c r="I842" s="97"/>
      <c r="J842" s="23"/>
      <c r="K842" s="41" t="s">
        <v>203</v>
      </c>
      <c r="L842" s="35">
        <v>564722</v>
      </c>
      <c r="M842" t="s">
        <v>1163</v>
      </c>
      <c r="O842" s="1" t="s">
        <v>907</v>
      </c>
    </row>
    <row r="843" spans="1:15" x14ac:dyDescent="0.2">
      <c r="A843" s="46">
        <f t="shared" si="22"/>
        <v>4</v>
      </c>
      <c r="B843" s="27">
        <v>1</v>
      </c>
      <c r="C843" s="27">
        <v>3</v>
      </c>
      <c r="E843" s="25" t="s">
        <v>722</v>
      </c>
      <c r="F843" s="79" t="s">
        <v>1208</v>
      </c>
      <c r="G843" s="29"/>
      <c r="H843" s="23" t="s">
        <v>723</v>
      </c>
      <c r="I843" s="97"/>
      <c r="J843" s="23"/>
      <c r="K843" s="41" t="s">
        <v>203</v>
      </c>
      <c r="L843" s="35">
        <v>564723</v>
      </c>
      <c r="O843" s="1" t="s">
        <v>907</v>
      </c>
    </row>
    <row r="844" spans="1:15" ht="15" customHeight="1" x14ac:dyDescent="0.2">
      <c r="A844" s="46">
        <v>1</v>
      </c>
      <c r="B844" s="27">
        <v>1</v>
      </c>
      <c r="E844" s="25" t="s">
        <v>722</v>
      </c>
      <c r="F844" s="79" t="s">
        <v>33</v>
      </c>
      <c r="G844" s="45" t="s">
        <v>13</v>
      </c>
      <c r="H844" s="23" t="s">
        <v>723</v>
      </c>
      <c r="I844" s="97"/>
      <c r="J844" s="23"/>
      <c r="K844" s="41" t="s">
        <v>203</v>
      </c>
      <c r="L844" s="35">
        <v>562607</v>
      </c>
      <c r="O844" s="1" t="s">
        <v>907</v>
      </c>
    </row>
    <row r="845" spans="1:15" x14ac:dyDescent="0.2">
      <c r="A845" s="46">
        <f t="shared" ref="A845:A854" si="23">B845+C845</f>
        <v>1</v>
      </c>
      <c r="B845" s="27">
        <v>1</v>
      </c>
      <c r="E845" s="25" t="s">
        <v>722</v>
      </c>
      <c r="F845" s="79" t="s">
        <v>33</v>
      </c>
      <c r="G845" s="45" t="s">
        <v>13</v>
      </c>
      <c r="H845" s="23" t="s">
        <v>1120</v>
      </c>
      <c r="I845" s="97"/>
      <c r="J845" s="23"/>
      <c r="K845" s="41" t="s">
        <v>484</v>
      </c>
      <c r="L845" s="35" t="s">
        <v>1121</v>
      </c>
      <c r="M845" t="s">
        <v>1162</v>
      </c>
      <c r="O845" s="1"/>
    </row>
    <row r="846" spans="1:15" x14ac:dyDescent="0.2">
      <c r="A846" s="46">
        <f t="shared" si="23"/>
        <v>2</v>
      </c>
      <c r="B846" s="27">
        <v>1</v>
      </c>
      <c r="C846" s="27">
        <v>1</v>
      </c>
      <c r="E846" s="25" t="s">
        <v>722</v>
      </c>
      <c r="F846" s="22" t="s">
        <v>724</v>
      </c>
      <c r="G846" s="29" t="s">
        <v>13</v>
      </c>
      <c r="H846" s="20" t="s">
        <v>725</v>
      </c>
      <c r="I846" s="85"/>
      <c r="J846" s="20"/>
      <c r="K846" s="37" t="s">
        <v>234</v>
      </c>
      <c r="L846" s="32" t="s">
        <v>726</v>
      </c>
      <c r="M846" t="s">
        <v>1162</v>
      </c>
      <c r="O846" s="1" t="s">
        <v>907</v>
      </c>
    </row>
    <row r="847" spans="1:15" x14ac:dyDescent="0.2">
      <c r="A847" s="46">
        <f t="shared" si="23"/>
        <v>1</v>
      </c>
      <c r="B847" s="27">
        <v>1</v>
      </c>
      <c r="E847" s="25" t="s">
        <v>727</v>
      </c>
      <c r="F847" s="22" t="s">
        <v>26</v>
      </c>
      <c r="G847" s="29"/>
      <c r="H847" s="30"/>
      <c r="I847" s="84"/>
      <c r="J847" s="30"/>
      <c r="K847" s="37" t="s">
        <v>17</v>
      </c>
      <c r="L847" s="31"/>
      <c r="O847" s="1" t="s">
        <v>907</v>
      </c>
    </row>
    <row r="848" spans="1:15" x14ac:dyDescent="0.2">
      <c r="A848" s="46">
        <f t="shared" si="23"/>
        <v>0</v>
      </c>
      <c r="D848" s="27">
        <v>1</v>
      </c>
      <c r="E848" s="25" t="s">
        <v>728</v>
      </c>
      <c r="F848" s="22" t="s">
        <v>12</v>
      </c>
      <c r="G848" s="29"/>
      <c r="H848" s="30"/>
      <c r="I848" s="84"/>
      <c r="J848" s="30"/>
      <c r="K848" s="37" t="s">
        <v>14</v>
      </c>
      <c r="L848" s="31"/>
      <c r="O848" s="1" t="s">
        <v>907</v>
      </c>
    </row>
    <row r="849" spans="1:18" x14ac:dyDescent="0.2">
      <c r="A849" s="47">
        <f t="shared" si="23"/>
        <v>1</v>
      </c>
      <c r="B849" s="27">
        <v>1</v>
      </c>
      <c r="E849" s="25" t="s">
        <v>729</v>
      </c>
      <c r="F849" s="81" t="s">
        <v>267</v>
      </c>
      <c r="G849" s="29" t="s">
        <v>882</v>
      </c>
      <c r="H849" s="30"/>
      <c r="I849" s="84"/>
      <c r="J849" s="30"/>
      <c r="K849" s="43" t="s">
        <v>22</v>
      </c>
      <c r="L849" s="31">
        <v>405240</v>
      </c>
      <c r="O849" s="1" t="s">
        <v>948</v>
      </c>
    </row>
    <row r="850" spans="1:18" x14ac:dyDescent="0.2">
      <c r="A850" s="46">
        <f t="shared" si="23"/>
        <v>2</v>
      </c>
      <c r="B850" s="27">
        <v>1</v>
      </c>
      <c r="C850" s="27">
        <v>1</v>
      </c>
      <c r="E850" s="25" t="s">
        <v>729</v>
      </c>
      <c r="F850" s="22" t="s">
        <v>42</v>
      </c>
      <c r="G850" s="29" t="s">
        <v>882</v>
      </c>
      <c r="H850" s="20" t="s">
        <v>13</v>
      </c>
      <c r="I850" s="85"/>
      <c r="J850" s="20"/>
      <c r="K850" s="37" t="s">
        <v>22</v>
      </c>
      <c r="L850" s="32">
        <v>405243</v>
      </c>
      <c r="O850" s="1" t="s">
        <v>907</v>
      </c>
    </row>
    <row r="851" spans="1:18" x14ac:dyDescent="0.2">
      <c r="A851" s="46">
        <f t="shared" si="23"/>
        <v>1</v>
      </c>
      <c r="B851" s="27">
        <v>1</v>
      </c>
      <c r="E851" s="25" t="s">
        <v>729</v>
      </c>
      <c r="F851" s="22" t="s">
        <v>42</v>
      </c>
      <c r="G851" s="29" t="s">
        <v>882</v>
      </c>
      <c r="H851" s="30"/>
      <c r="I851" s="84"/>
      <c r="J851" s="30"/>
      <c r="K851" s="37" t="s">
        <v>39</v>
      </c>
      <c r="L851" s="31">
        <v>554067</v>
      </c>
      <c r="O851" s="1" t="s">
        <v>907</v>
      </c>
    </row>
    <row r="852" spans="1:18" x14ac:dyDescent="0.2">
      <c r="A852" s="46">
        <f t="shared" si="23"/>
        <v>1</v>
      </c>
      <c r="B852" s="27">
        <v>1</v>
      </c>
      <c r="E852" s="25" t="s">
        <v>729</v>
      </c>
      <c r="F852" s="22" t="s">
        <v>84</v>
      </c>
      <c r="G852" s="29" t="s">
        <v>882</v>
      </c>
      <c r="H852" s="30"/>
      <c r="I852" s="84"/>
      <c r="J852" s="30"/>
      <c r="K852" s="37" t="s">
        <v>22</v>
      </c>
      <c r="L852" s="31">
        <v>405250</v>
      </c>
      <c r="O852" s="1" t="s">
        <v>907</v>
      </c>
    </row>
    <row r="853" spans="1:18" x14ac:dyDescent="0.2">
      <c r="A853" s="46">
        <f t="shared" si="23"/>
        <v>2</v>
      </c>
      <c r="B853" s="27">
        <v>1</v>
      </c>
      <c r="C853" s="27">
        <v>1</v>
      </c>
      <c r="E853" s="25" t="s">
        <v>729</v>
      </c>
      <c r="F853" s="22" t="s">
        <v>111</v>
      </c>
      <c r="G853" s="29" t="s">
        <v>882</v>
      </c>
      <c r="H853" s="20" t="s">
        <v>13</v>
      </c>
      <c r="I853" s="85"/>
      <c r="J853" s="20"/>
      <c r="K853" s="37" t="s">
        <v>22</v>
      </c>
      <c r="L853" s="32">
        <v>405208</v>
      </c>
      <c r="O853" s="1" t="s">
        <v>907</v>
      </c>
    </row>
    <row r="854" spans="1:18" x14ac:dyDescent="0.2">
      <c r="A854" s="47">
        <f t="shared" si="23"/>
        <v>1</v>
      </c>
      <c r="B854" s="27">
        <v>1</v>
      </c>
      <c r="E854" s="25" t="s">
        <v>729</v>
      </c>
      <c r="F854" s="81" t="s">
        <v>107</v>
      </c>
      <c r="G854" s="29" t="s">
        <v>882</v>
      </c>
      <c r="H854" s="30"/>
      <c r="I854" s="84"/>
      <c r="J854" s="30"/>
      <c r="K854" s="43" t="s">
        <v>203</v>
      </c>
      <c r="L854" s="31">
        <v>564176</v>
      </c>
      <c r="O854" s="1" t="s">
        <v>907</v>
      </c>
    </row>
    <row r="855" spans="1:18" x14ac:dyDescent="0.2">
      <c r="A855" s="46">
        <v>1</v>
      </c>
      <c r="B855" s="27">
        <v>1</v>
      </c>
      <c r="E855" s="13" t="s">
        <v>729</v>
      </c>
      <c r="F855" s="15" t="s">
        <v>1193</v>
      </c>
      <c r="G855" s="29" t="s">
        <v>882</v>
      </c>
      <c r="H855" s="20"/>
      <c r="I855" s="85"/>
      <c r="J855" s="20"/>
      <c r="K855" s="37"/>
      <c r="L855" s="32"/>
      <c r="M855" s="73"/>
      <c r="N855" s="74"/>
      <c r="O855" s="1"/>
      <c r="P855" s="1"/>
      <c r="Q855" s="1"/>
      <c r="R855" s="1"/>
    </row>
    <row r="856" spans="1:18" x14ac:dyDescent="0.2">
      <c r="A856" s="47">
        <v>1</v>
      </c>
      <c r="B856" s="27">
        <v>1</v>
      </c>
      <c r="E856" s="25" t="s">
        <v>729</v>
      </c>
      <c r="F856" s="81" t="s">
        <v>108</v>
      </c>
      <c r="G856" s="29" t="s">
        <v>882</v>
      </c>
      <c r="H856" s="30"/>
      <c r="I856" s="84"/>
      <c r="J856" s="30"/>
      <c r="K856" s="43" t="s">
        <v>203</v>
      </c>
      <c r="L856" s="31">
        <v>612961</v>
      </c>
      <c r="O856" s="1" t="s">
        <v>907</v>
      </c>
    </row>
    <row r="857" spans="1:18" x14ac:dyDescent="0.2">
      <c r="A857" s="46">
        <f t="shared" ref="A857:A862" si="24">B857+C857</f>
        <v>1</v>
      </c>
      <c r="B857" s="27">
        <v>1</v>
      </c>
      <c r="E857" s="13" t="s">
        <v>729</v>
      </c>
      <c r="F857" s="15" t="s">
        <v>873</v>
      </c>
      <c r="G857" s="29" t="s">
        <v>882</v>
      </c>
      <c r="H857" s="20" t="s">
        <v>13</v>
      </c>
      <c r="I857" s="85"/>
      <c r="J857" s="20" t="s">
        <v>13</v>
      </c>
      <c r="K857" s="37" t="s">
        <v>203</v>
      </c>
      <c r="L857" s="32">
        <v>612935</v>
      </c>
      <c r="M857" s="73"/>
      <c r="N857" s="73"/>
      <c r="O857" s="1" t="s">
        <v>907</v>
      </c>
      <c r="P857" s="1"/>
      <c r="Q857" s="1"/>
      <c r="R857" s="1"/>
    </row>
    <row r="858" spans="1:18" x14ac:dyDescent="0.2">
      <c r="A858" s="47">
        <f t="shared" si="24"/>
        <v>1</v>
      </c>
      <c r="B858" s="27">
        <v>1</v>
      </c>
      <c r="E858" s="25" t="s">
        <v>729</v>
      </c>
      <c r="F858" s="81" t="s">
        <v>974</v>
      </c>
      <c r="G858" s="29" t="s">
        <v>882</v>
      </c>
      <c r="H858" s="30"/>
      <c r="I858" s="84"/>
      <c r="J858" s="30"/>
      <c r="K858" s="43" t="s">
        <v>203</v>
      </c>
      <c r="L858" s="31">
        <v>613013</v>
      </c>
      <c r="O858" s="1" t="s">
        <v>907</v>
      </c>
    </row>
    <row r="859" spans="1:18" x14ac:dyDescent="0.2">
      <c r="A859" s="46">
        <f t="shared" si="24"/>
        <v>1</v>
      </c>
      <c r="B859" s="27">
        <v>1</v>
      </c>
      <c r="E859" s="13" t="s">
        <v>729</v>
      </c>
      <c r="F859" s="15" t="s">
        <v>871</v>
      </c>
      <c r="G859" s="29" t="s">
        <v>882</v>
      </c>
      <c r="H859" s="20" t="s">
        <v>13</v>
      </c>
      <c r="I859" s="85"/>
      <c r="J859" s="20" t="s">
        <v>13</v>
      </c>
      <c r="K859" s="37" t="s">
        <v>203</v>
      </c>
      <c r="L859" s="32">
        <v>612979</v>
      </c>
      <c r="M859" s="73"/>
      <c r="N859" s="74"/>
      <c r="O859" s="1" t="s">
        <v>907</v>
      </c>
      <c r="P859" s="1"/>
      <c r="Q859" s="1"/>
      <c r="R859" s="1"/>
    </row>
    <row r="860" spans="1:18" x14ac:dyDescent="0.2">
      <c r="A860" s="47">
        <f t="shared" si="24"/>
        <v>1</v>
      </c>
      <c r="B860" s="27">
        <v>1</v>
      </c>
      <c r="E860" s="25" t="s">
        <v>729</v>
      </c>
      <c r="F860" s="81" t="s">
        <v>961</v>
      </c>
      <c r="G860" s="29" t="s">
        <v>882</v>
      </c>
      <c r="H860" s="30"/>
      <c r="I860" s="84"/>
      <c r="J860" s="30"/>
      <c r="K860" s="43" t="s">
        <v>203</v>
      </c>
      <c r="L860" s="31">
        <v>612775</v>
      </c>
      <c r="O860" s="1" t="s">
        <v>907</v>
      </c>
    </row>
    <row r="861" spans="1:18" x14ac:dyDescent="0.2">
      <c r="A861" s="47">
        <f t="shared" si="24"/>
        <v>1</v>
      </c>
      <c r="B861" s="27">
        <v>1</v>
      </c>
      <c r="E861" s="25" t="s">
        <v>729</v>
      </c>
      <c r="F861" s="81" t="s">
        <v>876</v>
      </c>
      <c r="G861" s="29" t="s">
        <v>882</v>
      </c>
      <c r="H861" s="30"/>
      <c r="I861" s="84"/>
      <c r="J861" s="30"/>
      <c r="K861" s="43" t="s">
        <v>203</v>
      </c>
      <c r="L861" s="31">
        <v>564923</v>
      </c>
      <c r="O861" s="1" t="s">
        <v>907</v>
      </c>
    </row>
    <row r="862" spans="1:18" x14ac:dyDescent="0.2">
      <c r="A862" s="46">
        <f t="shared" si="24"/>
        <v>3</v>
      </c>
      <c r="B862" s="27">
        <v>1</v>
      </c>
      <c r="C862" s="27">
        <v>2</v>
      </c>
      <c r="E862" s="25" t="s">
        <v>729</v>
      </c>
      <c r="F862" s="22" t="s">
        <v>85</v>
      </c>
      <c r="G862" s="29" t="s">
        <v>882</v>
      </c>
      <c r="H862" s="20" t="s">
        <v>13</v>
      </c>
      <c r="I862" s="85"/>
      <c r="J862" s="20"/>
      <c r="K862" s="37" t="s">
        <v>22</v>
      </c>
      <c r="L862" s="32">
        <v>405226</v>
      </c>
      <c r="O862" s="1" t="s">
        <v>907</v>
      </c>
    </row>
    <row r="863" spans="1:18" x14ac:dyDescent="0.2">
      <c r="A863" s="46">
        <v>1</v>
      </c>
      <c r="B863" s="27">
        <v>0</v>
      </c>
      <c r="C863" s="27">
        <v>1</v>
      </c>
      <c r="D863" s="27">
        <v>1</v>
      </c>
      <c r="E863" s="25" t="s">
        <v>729</v>
      </c>
      <c r="F863" s="22" t="s">
        <v>85</v>
      </c>
      <c r="G863" s="29" t="s">
        <v>882</v>
      </c>
      <c r="H863" s="30"/>
      <c r="I863" s="84"/>
      <c r="J863" s="30"/>
      <c r="K863" s="37" t="s">
        <v>22</v>
      </c>
      <c r="L863" s="31">
        <v>583259</v>
      </c>
      <c r="O863" s="1" t="s">
        <v>907</v>
      </c>
    </row>
    <row r="864" spans="1:18" x14ac:dyDescent="0.2">
      <c r="A864" s="46">
        <f>B864+C864</f>
        <v>2</v>
      </c>
      <c r="B864" s="27">
        <v>1</v>
      </c>
      <c r="C864" s="27">
        <v>1</v>
      </c>
      <c r="E864" s="25" t="s">
        <v>729</v>
      </c>
      <c r="F864" s="22" t="s">
        <v>85</v>
      </c>
      <c r="G864" s="29" t="s">
        <v>882</v>
      </c>
      <c r="H864" s="20" t="s">
        <v>13</v>
      </c>
      <c r="I864" s="85"/>
      <c r="J864" s="20"/>
      <c r="K864" s="37" t="s">
        <v>203</v>
      </c>
      <c r="L864" s="32">
        <v>563259</v>
      </c>
      <c r="O864" s="1" t="s">
        <v>907</v>
      </c>
    </row>
    <row r="865" spans="1:15" x14ac:dyDescent="0.2">
      <c r="A865" s="46">
        <f>B865+C865</f>
        <v>2</v>
      </c>
      <c r="B865" s="27">
        <v>1</v>
      </c>
      <c r="C865" s="27">
        <v>1</v>
      </c>
      <c r="E865" s="25" t="s">
        <v>729</v>
      </c>
      <c r="F865" s="22" t="s">
        <v>116</v>
      </c>
      <c r="G865" s="29" t="s">
        <v>882</v>
      </c>
      <c r="H865" s="20" t="s">
        <v>13</v>
      </c>
      <c r="I865" s="85"/>
      <c r="J865" s="20"/>
      <c r="K865" s="37" t="s">
        <v>22</v>
      </c>
      <c r="L865" s="32">
        <v>405233</v>
      </c>
      <c r="O865" s="1" t="s">
        <v>907</v>
      </c>
    </row>
    <row r="866" spans="1:15" x14ac:dyDescent="0.2">
      <c r="A866" s="46">
        <v>1</v>
      </c>
      <c r="B866" s="27">
        <v>1</v>
      </c>
      <c r="C866" s="27">
        <v>0</v>
      </c>
      <c r="E866" s="25" t="s">
        <v>729</v>
      </c>
      <c r="F866" s="22" t="s">
        <v>114</v>
      </c>
      <c r="G866" s="29" t="s">
        <v>882</v>
      </c>
      <c r="H866" s="20" t="s">
        <v>13</v>
      </c>
      <c r="I866" s="85"/>
      <c r="J866" s="20"/>
      <c r="K866" s="37" t="s">
        <v>22</v>
      </c>
      <c r="L866" s="32">
        <v>405227</v>
      </c>
      <c r="O866" s="1" t="s">
        <v>907</v>
      </c>
    </row>
    <row r="867" spans="1:15" x14ac:dyDescent="0.2">
      <c r="A867" s="46">
        <f t="shared" ref="A867:A890" si="25">B867+C867</f>
        <v>3</v>
      </c>
      <c r="B867" s="27">
        <v>1</v>
      </c>
      <c r="C867" s="27">
        <v>2</v>
      </c>
      <c r="E867" s="25" t="s">
        <v>729</v>
      </c>
      <c r="F867" s="22" t="s">
        <v>32</v>
      </c>
      <c r="G867" s="29" t="s">
        <v>882</v>
      </c>
      <c r="H867" s="20" t="s">
        <v>13</v>
      </c>
      <c r="I867" s="85"/>
      <c r="J867" s="20"/>
      <c r="K867" s="37" t="s">
        <v>22</v>
      </c>
      <c r="L867" s="32">
        <v>405229</v>
      </c>
      <c r="O867" s="1" t="s">
        <v>907</v>
      </c>
    </row>
    <row r="868" spans="1:15" x14ac:dyDescent="0.2">
      <c r="A868" s="46">
        <f t="shared" si="25"/>
        <v>2</v>
      </c>
      <c r="B868" s="27">
        <v>1</v>
      </c>
      <c r="C868" s="27">
        <v>1</v>
      </c>
      <c r="D868" s="118" t="s">
        <v>1225</v>
      </c>
      <c r="E868" s="25" t="s">
        <v>729</v>
      </c>
      <c r="F868" s="22" t="s">
        <v>109</v>
      </c>
      <c r="G868" s="29" t="s">
        <v>882</v>
      </c>
      <c r="H868" s="30"/>
      <c r="I868" s="84"/>
      <c r="J868" s="30"/>
      <c r="K868" s="37" t="s">
        <v>54</v>
      </c>
      <c r="L868" s="31">
        <v>405232</v>
      </c>
      <c r="O868" s="1" t="s">
        <v>907</v>
      </c>
    </row>
    <row r="869" spans="1:15" x14ac:dyDescent="0.2">
      <c r="A869" s="46">
        <f t="shared" si="25"/>
        <v>4</v>
      </c>
      <c r="B869" s="27">
        <v>1</v>
      </c>
      <c r="C869" s="27">
        <v>3</v>
      </c>
      <c r="E869" s="25" t="s">
        <v>729</v>
      </c>
      <c r="F869" s="22" t="s">
        <v>110</v>
      </c>
      <c r="G869" s="29" t="s">
        <v>882</v>
      </c>
      <c r="H869" s="20" t="s">
        <v>1146</v>
      </c>
      <c r="I869" s="85" t="s">
        <v>1078</v>
      </c>
      <c r="J869" s="20"/>
      <c r="K869" s="37" t="s">
        <v>22</v>
      </c>
      <c r="L869" s="32">
        <v>405241</v>
      </c>
      <c r="O869" s="1" t="s">
        <v>907</v>
      </c>
    </row>
    <row r="870" spans="1:15" x14ac:dyDescent="0.2">
      <c r="A870" s="46">
        <f t="shared" si="25"/>
        <v>1</v>
      </c>
      <c r="B870" s="27">
        <v>1</v>
      </c>
      <c r="E870" s="25" t="s">
        <v>729</v>
      </c>
      <c r="F870" s="22" t="s">
        <v>115</v>
      </c>
      <c r="G870" s="29" t="s">
        <v>882</v>
      </c>
      <c r="H870" s="20" t="s">
        <v>13</v>
      </c>
      <c r="I870" s="85"/>
      <c r="J870" s="20"/>
      <c r="K870" s="37" t="s">
        <v>22</v>
      </c>
      <c r="L870" s="32">
        <v>405249</v>
      </c>
      <c r="O870" s="1" t="s">
        <v>907</v>
      </c>
    </row>
    <row r="871" spans="1:15" x14ac:dyDescent="0.2">
      <c r="A871" s="46">
        <f t="shared" si="25"/>
        <v>1</v>
      </c>
      <c r="B871" s="27">
        <v>1</v>
      </c>
      <c r="E871" s="25" t="s">
        <v>729</v>
      </c>
      <c r="F871" s="81" t="s">
        <v>1052</v>
      </c>
      <c r="G871" s="29" t="s">
        <v>882</v>
      </c>
      <c r="H871" s="30"/>
      <c r="I871" s="84"/>
      <c r="J871" s="30"/>
      <c r="K871" s="43" t="s">
        <v>22</v>
      </c>
      <c r="L871" s="31">
        <v>405218</v>
      </c>
      <c r="O871" s="1" t="s">
        <v>1050</v>
      </c>
    </row>
    <row r="872" spans="1:15" x14ac:dyDescent="0.2">
      <c r="A872" s="46">
        <f t="shared" si="25"/>
        <v>1</v>
      </c>
      <c r="B872" s="27">
        <v>1</v>
      </c>
      <c r="E872" s="25" t="s">
        <v>729</v>
      </c>
      <c r="F872" s="81" t="s">
        <v>1051</v>
      </c>
      <c r="G872" s="29" t="s">
        <v>882</v>
      </c>
      <c r="H872" s="30"/>
      <c r="I872" s="84"/>
      <c r="J872" s="30"/>
      <c r="K872" s="43" t="s">
        <v>22</v>
      </c>
      <c r="L872" s="31">
        <v>405224</v>
      </c>
      <c r="O872" s="1" t="s">
        <v>1050</v>
      </c>
    </row>
    <row r="873" spans="1:15" x14ac:dyDescent="0.2">
      <c r="A873" s="46">
        <f t="shared" si="25"/>
        <v>3</v>
      </c>
      <c r="B873" s="27">
        <v>1</v>
      </c>
      <c r="C873" s="27">
        <v>2</v>
      </c>
      <c r="E873" s="25" t="s">
        <v>729</v>
      </c>
      <c r="F873" s="22" t="s">
        <v>30</v>
      </c>
      <c r="G873" s="29" t="s">
        <v>882</v>
      </c>
      <c r="H873" s="20" t="s">
        <v>13</v>
      </c>
      <c r="I873" s="85"/>
      <c r="J873" s="20"/>
      <c r="K873" s="37" t="s">
        <v>22</v>
      </c>
      <c r="L873" s="32">
        <v>405202</v>
      </c>
      <c r="O873" s="1" t="s">
        <v>907</v>
      </c>
    </row>
    <row r="874" spans="1:15" x14ac:dyDescent="0.2">
      <c r="A874" s="46">
        <f t="shared" si="25"/>
        <v>2</v>
      </c>
      <c r="B874" s="27">
        <v>1</v>
      </c>
      <c r="C874" s="27">
        <v>1</v>
      </c>
      <c r="E874" s="25" t="s">
        <v>729</v>
      </c>
      <c r="F874" s="22" t="s">
        <v>30</v>
      </c>
      <c r="G874" s="29" t="s">
        <v>882</v>
      </c>
      <c r="H874" s="30"/>
      <c r="I874" s="84"/>
      <c r="J874" s="30"/>
      <c r="K874" s="37" t="s">
        <v>31</v>
      </c>
      <c r="L874" s="31">
        <v>554060</v>
      </c>
      <c r="O874" s="1" t="s">
        <v>907</v>
      </c>
    </row>
    <row r="875" spans="1:15" x14ac:dyDescent="0.2">
      <c r="A875" s="46">
        <f t="shared" si="25"/>
        <v>1</v>
      </c>
      <c r="B875" s="27">
        <v>1</v>
      </c>
      <c r="E875" s="25" t="s">
        <v>729</v>
      </c>
      <c r="F875" s="22" t="s">
        <v>33</v>
      </c>
      <c r="G875" s="29" t="s">
        <v>882</v>
      </c>
      <c r="H875" s="20"/>
      <c r="I875" s="85"/>
      <c r="J875" s="20"/>
      <c r="K875" s="37" t="s">
        <v>54</v>
      </c>
      <c r="L875" s="65">
        <v>405204</v>
      </c>
      <c r="O875" s="1" t="s">
        <v>907</v>
      </c>
    </row>
    <row r="876" spans="1:15" x14ac:dyDescent="0.2">
      <c r="A876" s="46">
        <f t="shared" si="25"/>
        <v>2</v>
      </c>
      <c r="B876" s="27">
        <v>1</v>
      </c>
      <c r="C876" s="27">
        <v>1</v>
      </c>
      <c r="E876" s="25" t="s">
        <v>729</v>
      </c>
      <c r="F876" s="22" t="s">
        <v>33</v>
      </c>
      <c r="G876" s="29" t="s">
        <v>882</v>
      </c>
      <c r="H876" s="20" t="s">
        <v>13</v>
      </c>
      <c r="I876" s="85"/>
      <c r="J876" s="20"/>
      <c r="K876" s="37" t="s">
        <v>731</v>
      </c>
      <c r="L876" s="32" t="s">
        <v>732</v>
      </c>
      <c r="O876" s="1" t="s">
        <v>907</v>
      </c>
    </row>
    <row r="877" spans="1:15" x14ac:dyDescent="0.2">
      <c r="A877" s="46">
        <f t="shared" si="25"/>
        <v>1</v>
      </c>
      <c r="B877" s="27">
        <v>1</v>
      </c>
      <c r="E877" s="25" t="s">
        <v>729</v>
      </c>
      <c r="F877" s="22" t="s">
        <v>359</v>
      </c>
      <c r="G877" s="29" t="s">
        <v>882</v>
      </c>
      <c r="H877" s="30"/>
      <c r="I877" s="84"/>
      <c r="J877" s="30"/>
      <c r="K877" s="37" t="s">
        <v>31</v>
      </c>
      <c r="L877" s="31">
        <v>551487</v>
      </c>
      <c r="O877" s="1" t="s">
        <v>907</v>
      </c>
    </row>
    <row r="878" spans="1:15" x14ac:dyDescent="0.2">
      <c r="A878" s="46">
        <f t="shared" si="25"/>
        <v>1</v>
      </c>
      <c r="B878" s="27">
        <v>1</v>
      </c>
      <c r="E878" s="25" t="s">
        <v>729</v>
      </c>
      <c r="F878" s="22" t="s">
        <v>403</v>
      </c>
      <c r="G878" s="29" t="s">
        <v>882</v>
      </c>
      <c r="H878" s="20" t="s">
        <v>13</v>
      </c>
      <c r="I878" s="85"/>
      <c r="J878" s="20"/>
      <c r="K878" s="37" t="s">
        <v>203</v>
      </c>
      <c r="L878" s="32">
        <v>557598</v>
      </c>
      <c r="O878" s="1" t="s">
        <v>907</v>
      </c>
    </row>
    <row r="879" spans="1:15" x14ac:dyDescent="0.2">
      <c r="A879" s="46">
        <f t="shared" si="25"/>
        <v>2</v>
      </c>
      <c r="B879" s="27">
        <v>1</v>
      </c>
      <c r="C879" s="27">
        <v>1</v>
      </c>
      <c r="E879" s="25" t="s">
        <v>729</v>
      </c>
      <c r="F879" s="22" t="s">
        <v>70</v>
      </c>
      <c r="G879" s="29" t="s">
        <v>882</v>
      </c>
      <c r="H879" s="30"/>
      <c r="I879" s="84"/>
      <c r="J879" s="30"/>
      <c r="K879" s="37" t="s">
        <v>54</v>
      </c>
      <c r="L879" s="31">
        <v>405206</v>
      </c>
      <c r="O879" s="1" t="s">
        <v>907</v>
      </c>
    </row>
    <row r="880" spans="1:15" x14ac:dyDescent="0.2">
      <c r="A880" s="46">
        <f t="shared" si="25"/>
        <v>1</v>
      </c>
      <c r="B880" s="27">
        <v>1</v>
      </c>
      <c r="E880" s="25" t="s">
        <v>729</v>
      </c>
      <c r="F880" s="22" t="s">
        <v>177</v>
      </c>
      <c r="G880" s="29" t="s">
        <v>882</v>
      </c>
      <c r="H880" s="20" t="s">
        <v>13</v>
      </c>
      <c r="I880" s="85"/>
      <c r="J880" s="20" t="s">
        <v>13</v>
      </c>
      <c r="K880" s="37" t="s">
        <v>22</v>
      </c>
      <c r="L880" s="32">
        <v>405248</v>
      </c>
      <c r="O880" s="1" t="s">
        <v>907</v>
      </c>
    </row>
    <row r="881" spans="1:15" x14ac:dyDescent="0.2">
      <c r="A881" s="46">
        <f t="shared" si="25"/>
        <v>1</v>
      </c>
      <c r="B881" s="27">
        <v>1</v>
      </c>
      <c r="E881" s="25" t="s">
        <v>729</v>
      </c>
      <c r="F881" s="22" t="s">
        <v>730</v>
      </c>
      <c r="G881" s="29" t="s">
        <v>882</v>
      </c>
      <c r="H881" s="20" t="s">
        <v>13</v>
      </c>
      <c r="I881" s="85"/>
      <c r="J881" s="20"/>
      <c r="K881" s="37" t="s">
        <v>22</v>
      </c>
      <c r="L881" s="65">
        <v>405213</v>
      </c>
      <c r="O881" s="1" t="s">
        <v>907</v>
      </c>
    </row>
    <row r="882" spans="1:15" x14ac:dyDescent="0.2">
      <c r="A882" s="46">
        <f t="shared" si="25"/>
        <v>4</v>
      </c>
      <c r="B882" s="27">
        <v>1</v>
      </c>
      <c r="C882" s="27">
        <v>3</v>
      </c>
      <c r="E882" s="25" t="s">
        <v>729</v>
      </c>
      <c r="F882" s="22" t="s">
        <v>90</v>
      </c>
      <c r="G882" s="29" t="s">
        <v>882</v>
      </c>
      <c r="H882" s="20" t="s">
        <v>13</v>
      </c>
      <c r="I882" s="85"/>
      <c r="J882" s="20"/>
      <c r="K882" s="37" t="s">
        <v>22</v>
      </c>
      <c r="L882" s="65">
        <v>405214</v>
      </c>
      <c r="O882" s="1" t="s">
        <v>907</v>
      </c>
    </row>
    <row r="883" spans="1:15" x14ac:dyDescent="0.2">
      <c r="A883" s="46">
        <f t="shared" si="25"/>
        <v>1</v>
      </c>
      <c r="B883" s="27">
        <v>1</v>
      </c>
      <c r="E883" s="25" t="s">
        <v>729</v>
      </c>
      <c r="F883" s="81" t="s">
        <v>912</v>
      </c>
      <c r="G883" s="29" t="s">
        <v>882</v>
      </c>
      <c r="H883" s="30"/>
      <c r="I883" s="84"/>
      <c r="J883" s="30"/>
      <c r="K883" s="43" t="s">
        <v>22</v>
      </c>
      <c r="L883" s="31">
        <v>405282</v>
      </c>
      <c r="N883" s="1" t="s">
        <v>1043</v>
      </c>
      <c r="O883" s="1" t="s">
        <v>908</v>
      </c>
    </row>
    <row r="884" spans="1:15" x14ac:dyDescent="0.2">
      <c r="A884" s="46">
        <f t="shared" si="25"/>
        <v>4</v>
      </c>
      <c r="B884" s="27">
        <v>1</v>
      </c>
      <c r="C884" s="27">
        <v>3</v>
      </c>
      <c r="E884" s="25" t="s">
        <v>733</v>
      </c>
      <c r="F884" s="22" t="s">
        <v>115</v>
      </c>
      <c r="G884" s="29" t="s">
        <v>738</v>
      </c>
      <c r="H884" s="20" t="s">
        <v>734</v>
      </c>
      <c r="I884" s="85" t="s">
        <v>920</v>
      </c>
      <c r="J884" s="20" t="s">
        <v>923</v>
      </c>
      <c r="K884" s="37" t="s">
        <v>22</v>
      </c>
      <c r="L884" s="65">
        <v>108139</v>
      </c>
      <c r="N884" s="1" t="s">
        <v>886</v>
      </c>
      <c r="O884" s="1" t="s">
        <v>907</v>
      </c>
    </row>
    <row r="885" spans="1:15" x14ac:dyDescent="0.2">
      <c r="A885" s="46">
        <f t="shared" si="25"/>
        <v>1</v>
      </c>
      <c r="B885" s="27">
        <v>1</v>
      </c>
      <c r="E885" s="25" t="s">
        <v>733</v>
      </c>
      <c r="F885" s="22" t="s">
        <v>70</v>
      </c>
      <c r="G885" s="29" t="s">
        <v>738</v>
      </c>
      <c r="H885" s="20" t="s">
        <v>734</v>
      </c>
      <c r="I885" s="85" t="s">
        <v>920</v>
      </c>
      <c r="J885" s="20" t="s">
        <v>923</v>
      </c>
      <c r="K885" s="37" t="s">
        <v>22</v>
      </c>
      <c r="L885" s="31">
        <v>108114</v>
      </c>
      <c r="O885" s="1" t="s">
        <v>907</v>
      </c>
    </row>
    <row r="886" spans="1:15" x14ac:dyDescent="0.2">
      <c r="A886" s="46">
        <f t="shared" si="25"/>
        <v>1</v>
      </c>
      <c r="B886" s="27">
        <v>1</v>
      </c>
      <c r="E886" s="25" t="s">
        <v>733</v>
      </c>
      <c r="F886" s="22" t="s">
        <v>70</v>
      </c>
      <c r="G886" s="29"/>
      <c r="H886" s="30" t="s">
        <v>734</v>
      </c>
      <c r="I886" s="84"/>
      <c r="J886" s="30"/>
      <c r="K886" s="37" t="s">
        <v>735</v>
      </c>
      <c r="L886" s="31" t="s">
        <v>736</v>
      </c>
      <c r="O886" s="1" t="s">
        <v>907</v>
      </c>
    </row>
    <row r="887" spans="1:15" x14ac:dyDescent="0.2">
      <c r="A887" s="46">
        <f t="shared" si="25"/>
        <v>1</v>
      </c>
      <c r="B887" s="27">
        <v>1</v>
      </c>
      <c r="E887" s="25" t="s">
        <v>733</v>
      </c>
      <c r="F887" s="22" t="s">
        <v>70</v>
      </c>
      <c r="G887" s="29"/>
      <c r="H887" s="30" t="s">
        <v>734</v>
      </c>
      <c r="I887" s="84"/>
      <c r="J887" s="30"/>
      <c r="K887" s="37" t="s">
        <v>39</v>
      </c>
      <c r="L887" s="31">
        <v>558162</v>
      </c>
      <c r="O887" s="1" t="s">
        <v>907</v>
      </c>
    </row>
    <row r="888" spans="1:15" x14ac:dyDescent="0.2">
      <c r="A888" s="46">
        <f t="shared" si="25"/>
        <v>1</v>
      </c>
      <c r="B888" s="27">
        <v>1</v>
      </c>
      <c r="E888" s="25" t="s">
        <v>737</v>
      </c>
      <c r="F888" s="22" t="s">
        <v>139</v>
      </c>
      <c r="G888" s="29" t="s">
        <v>738</v>
      </c>
      <c r="H888" s="20" t="s">
        <v>734</v>
      </c>
      <c r="I888" s="85" t="s">
        <v>920</v>
      </c>
      <c r="J888" s="20" t="s">
        <v>923</v>
      </c>
      <c r="K888" s="37" t="s">
        <v>22</v>
      </c>
      <c r="L888" s="32">
        <v>108115</v>
      </c>
      <c r="O888" s="1" t="s">
        <v>907</v>
      </c>
    </row>
    <row r="889" spans="1:15" x14ac:dyDescent="0.2">
      <c r="A889" s="46">
        <f t="shared" si="25"/>
        <v>1</v>
      </c>
      <c r="B889" s="27">
        <v>1</v>
      </c>
      <c r="E889" s="25" t="s">
        <v>737</v>
      </c>
      <c r="F889" s="22" t="s">
        <v>12</v>
      </c>
      <c r="G889" s="29" t="s">
        <v>13</v>
      </c>
      <c r="H889" s="20" t="s">
        <v>13</v>
      </c>
      <c r="I889" s="85"/>
      <c r="J889" s="20"/>
      <c r="K889" s="37" t="s">
        <v>247</v>
      </c>
      <c r="L889" s="32" t="s">
        <v>739</v>
      </c>
      <c r="O889" s="1" t="s">
        <v>907</v>
      </c>
    </row>
    <row r="890" spans="1:15" x14ac:dyDescent="0.2">
      <c r="A890" s="46">
        <f t="shared" si="25"/>
        <v>1</v>
      </c>
      <c r="B890" s="27">
        <v>1</v>
      </c>
      <c r="D890" s="27">
        <v>1</v>
      </c>
      <c r="E890" s="25" t="s">
        <v>737</v>
      </c>
      <c r="F890" s="22" t="s">
        <v>85</v>
      </c>
      <c r="G890" s="29" t="s">
        <v>738</v>
      </c>
      <c r="H890" s="20" t="s">
        <v>734</v>
      </c>
      <c r="I890" s="85" t="s">
        <v>920</v>
      </c>
      <c r="J890" s="20" t="s">
        <v>923</v>
      </c>
      <c r="K890" s="37" t="s">
        <v>22</v>
      </c>
      <c r="L890" s="32">
        <v>108128</v>
      </c>
      <c r="O890" s="1" t="s">
        <v>907</v>
      </c>
    </row>
    <row r="891" spans="1:15" x14ac:dyDescent="0.2">
      <c r="A891" s="46">
        <v>2</v>
      </c>
      <c r="B891" s="27">
        <v>1</v>
      </c>
      <c r="C891" s="27">
        <v>1</v>
      </c>
      <c r="E891" s="25" t="s">
        <v>737</v>
      </c>
      <c r="F891" s="22" t="s">
        <v>116</v>
      </c>
      <c r="G891" s="29" t="s">
        <v>738</v>
      </c>
      <c r="H891" s="20" t="s">
        <v>734</v>
      </c>
      <c r="I891" s="85" t="s">
        <v>920</v>
      </c>
      <c r="J891" s="20" t="s">
        <v>923</v>
      </c>
      <c r="K891" s="37" t="s">
        <v>22</v>
      </c>
      <c r="L891" s="31">
        <v>108129</v>
      </c>
      <c r="M891" t="s">
        <v>741</v>
      </c>
      <c r="O891" s="1" t="s">
        <v>907</v>
      </c>
    </row>
    <row r="892" spans="1:15" x14ac:dyDescent="0.2">
      <c r="A892" s="46">
        <f t="shared" ref="A892:A917" si="26">B892+C892</f>
        <v>2</v>
      </c>
      <c r="B892" s="27">
        <v>1</v>
      </c>
      <c r="C892" s="27">
        <v>1</v>
      </c>
      <c r="D892" s="27">
        <v>1</v>
      </c>
      <c r="E892" s="25" t="s">
        <v>737</v>
      </c>
      <c r="F892" s="22" t="s">
        <v>30</v>
      </c>
      <c r="G892" s="29"/>
      <c r="H892" s="30" t="s">
        <v>734</v>
      </c>
      <c r="I892" s="84"/>
      <c r="J892" s="30"/>
      <c r="K892" s="37" t="s">
        <v>31</v>
      </c>
      <c r="L892" s="31">
        <v>557405</v>
      </c>
      <c r="O892" s="1" t="s">
        <v>907</v>
      </c>
    </row>
    <row r="893" spans="1:15" x14ac:dyDescent="0.2">
      <c r="A893" s="46">
        <f t="shared" si="26"/>
        <v>2</v>
      </c>
      <c r="B893" s="27">
        <v>1</v>
      </c>
      <c r="C893" s="27">
        <v>1</v>
      </c>
      <c r="E893" s="25" t="s">
        <v>737</v>
      </c>
      <c r="F893" s="22" t="s">
        <v>33</v>
      </c>
      <c r="G893" s="29" t="s">
        <v>738</v>
      </c>
      <c r="H893" s="20" t="s">
        <v>734</v>
      </c>
      <c r="I893" s="85" t="s">
        <v>920</v>
      </c>
      <c r="J893" s="20" t="s">
        <v>923</v>
      </c>
      <c r="K893" s="37" t="s">
        <v>22</v>
      </c>
      <c r="L893" s="32">
        <v>108108</v>
      </c>
      <c r="N893" s="1" t="s">
        <v>891</v>
      </c>
      <c r="O893" s="1" t="s">
        <v>907</v>
      </c>
    </row>
    <row r="894" spans="1:15" x14ac:dyDescent="0.2">
      <c r="A894" s="46">
        <f t="shared" si="26"/>
        <v>1</v>
      </c>
      <c r="B894" s="27">
        <v>1</v>
      </c>
      <c r="E894" s="25" t="s">
        <v>737</v>
      </c>
      <c r="F894" s="22" t="s">
        <v>33</v>
      </c>
      <c r="G894" s="29"/>
      <c r="H894" s="30" t="s">
        <v>734</v>
      </c>
      <c r="I894" s="84"/>
      <c r="J894" s="30"/>
      <c r="K894" s="37" t="s">
        <v>48</v>
      </c>
      <c r="L894" s="31" t="s">
        <v>740</v>
      </c>
      <c r="O894" s="1" t="s">
        <v>907</v>
      </c>
    </row>
    <row r="895" spans="1:15" x14ac:dyDescent="0.2">
      <c r="A895" s="46">
        <f t="shared" si="26"/>
        <v>1</v>
      </c>
      <c r="B895" s="27">
        <v>1</v>
      </c>
      <c r="E895" s="25" t="s">
        <v>737</v>
      </c>
      <c r="F895" s="22" t="s">
        <v>90</v>
      </c>
      <c r="G895" s="29" t="s">
        <v>738</v>
      </c>
      <c r="H895" s="20" t="s">
        <v>734</v>
      </c>
      <c r="I895" s="85" t="s">
        <v>920</v>
      </c>
      <c r="J895" s="20" t="s">
        <v>923</v>
      </c>
      <c r="K895" s="37" t="s">
        <v>22</v>
      </c>
      <c r="L895" s="65">
        <v>108124</v>
      </c>
      <c r="O895" s="1" t="s">
        <v>907</v>
      </c>
    </row>
    <row r="896" spans="1:15" x14ac:dyDescent="0.2">
      <c r="A896" s="46">
        <f t="shared" si="26"/>
        <v>1</v>
      </c>
      <c r="B896" s="27">
        <v>1</v>
      </c>
      <c r="E896" s="25" t="s">
        <v>742</v>
      </c>
      <c r="F896" s="22" t="s">
        <v>139</v>
      </c>
      <c r="G896" s="29"/>
      <c r="H896" s="30" t="s">
        <v>743</v>
      </c>
      <c r="I896" s="84"/>
      <c r="J896" s="30"/>
      <c r="K896" s="37" t="s">
        <v>22</v>
      </c>
      <c r="L896" s="31">
        <v>677110</v>
      </c>
      <c r="O896" s="1" t="s">
        <v>907</v>
      </c>
    </row>
    <row r="897" spans="1:15" x14ac:dyDescent="0.2">
      <c r="A897" s="46">
        <f t="shared" si="26"/>
        <v>1</v>
      </c>
      <c r="B897" s="27">
        <v>1</v>
      </c>
      <c r="E897" s="25" t="s">
        <v>744</v>
      </c>
      <c r="F897" s="22" t="s">
        <v>42</v>
      </c>
      <c r="G897" s="29"/>
      <c r="H897" s="30" t="s">
        <v>749</v>
      </c>
      <c r="I897" s="84"/>
      <c r="J897" s="30"/>
      <c r="K897" s="37" t="s">
        <v>22</v>
      </c>
      <c r="L897" s="31">
        <v>155508</v>
      </c>
      <c r="O897" s="1" t="s">
        <v>907</v>
      </c>
    </row>
    <row r="898" spans="1:15" x14ac:dyDescent="0.2">
      <c r="A898" s="46">
        <f t="shared" si="26"/>
        <v>1</v>
      </c>
      <c r="B898" s="27">
        <v>1</v>
      </c>
      <c r="E898" s="25" t="s">
        <v>744</v>
      </c>
      <c r="F898" s="22" t="s">
        <v>745</v>
      </c>
      <c r="G898" s="29" t="s">
        <v>13</v>
      </c>
      <c r="H898" s="20" t="s">
        <v>13</v>
      </c>
      <c r="I898" s="85"/>
      <c r="J898" s="20"/>
      <c r="K898" s="37" t="s">
        <v>48</v>
      </c>
      <c r="L898" s="32" t="s">
        <v>746</v>
      </c>
      <c r="N898" s="1" t="s">
        <v>888</v>
      </c>
      <c r="O898" s="1" t="s">
        <v>907</v>
      </c>
    </row>
    <row r="899" spans="1:15" x14ac:dyDescent="0.2">
      <c r="A899" s="46">
        <f t="shared" si="26"/>
        <v>1</v>
      </c>
      <c r="B899" s="27">
        <v>1</v>
      </c>
      <c r="E899" s="25" t="s">
        <v>744</v>
      </c>
      <c r="F899" s="22" t="s">
        <v>33</v>
      </c>
      <c r="G899" s="29" t="s">
        <v>13</v>
      </c>
      <c r="H899" s="20" t="s">
        <v>13</v>
      </c>
      <c r="I899" s="85"/>
      <c r="J899" s="20"/>
      <c r="K899" s="37" t="s">
        <v>17</v>
      </c>
      <c r="L899" s="32" t="s">
        <v>13</v>
      </c>
      <c r="N899" s="1" t="s">
        <v>888</v>
      </c>
      <c r="O899" s="1" t="s">
        <v>907</v>
      </c>
    </row>
    <row r="900" spans="1:15" ht="17" x14ac:dyDescent="0.2">
      <c r="A900" s="46">
        <f t="shared" si="26"/>
        <v>1</v>
      </c>
      <c r="B900" s="27">
        <v>1</v>
      </c>
      <c r="E900" s="25" t="s">
        <v>744</v>
      </c>
      <c r="F900" s="22" t="s">
        <v>33</v>
      </c>
      <c r="G900" s="29" t="s">
        <v>13</v>
      </c>
      <c r="H900" s="20" t="s">
        <v>13</v>
      </c>
      <c r="I900" s="85"/>
      <c r="J900" s="20"/>
      <c r="K900" s="37" t="s">
        <v>35</v>
      </c>
      <c r="L900" s="36" t="s">
        <v>747</v>
      </c>
      <c r="M900" t="s">
        <v>904</v>
      </c>
      <c r="N900" s="1" t="s">
        <v>888</v>
      </c>
      <c r="O900" s="1" t="s">
        <v>907</v>
      </c>
    </row>
    <row r="901" spans="1:15" x14ac:dyDescent="0.2">
      <c r="A901" s="46">
        <f t="shared" si="26"/>
        <v>0</v>
      </c>
      <c r="E901" s="25" t="s">
        <v>744</v>
      </c>
      <c r="F901" s="22" t="s">
        <v>33</v>
      </c>
      <c r="G901" s="29" t="s">
        <v>13</v>
      </c>
      <c r="H901" s="20" t="s">
        <v>13</v>
      </c>
      <c r="I901" s="85"/>
      <c r="J901" s="20"/>
      <c r="K901" s="37" t="s">
        <v>748</v>
      </c>
      <c r="L901" s="32" t="s">
        <v>13</v>
      </c>
      <c r="O901" s="1" t="s">
        <v>907</v>
      </c>
    </row>
    <row r="902" spans="1:15" x14ac:dyDescent="0.2">
      <c r="A902" s="46">
        <f t="shared" si="26"/>
        <v>2</v>
      </c>
      <c r="B902" s="27">
        <v>1</v>
      </c>
      <c r="C902" s="27">
        <v>1</v>
      </c>
      <c r="E902" s="25" t="s">
        <v>750</v>
      </c>
      <c r="F902" s="22" t="s">
        <v>26</v>
      </c>
      <c r="G902" s="29"/>
      <c r="H902" s="30"/>
      <c r="I902" s="84"/>
      <c r="J902" s="30"/>
      <c r="K902" s="37" t="s">
        <v>17</v>
      </c>
      <c r="L902" s="31"/>
      <c r="O902" s="1" t="s">
        <v>907</v>
      </c>
    </row>
    <row r="903" spans="1:15" x14ac:dyDescent="0.2">
      <c r="A903" s="46">
        <f t="shared" si="26"/>
        <v>0</v>
      </c>
      <c r="D903" s="27">
        <v>1</v>
      </c>
      <c r="E903" s="25" t="s">
        <v>750</v>
      </c>
      <c r="F903" s="22" t="s">
        <v>57</v>
      </c>
      <c r="G903" s="29"/>
      <c r="H903" s="30" t="s">
        <v>170</v>
      </c>
      <c r="I903" s="84"/>
      <c r="J903" s="30"/>
      <c r="K903" s="37" t="s">
        <v>22</v>
      </c>
      <c r="L903" s="31">
        <v>142408</v>
      </c>
      <c r="O903" s="1" t="s">
        <v>907</v>
      </c>
    </row>
    <row r="904" spans="1:15" x14ac:dyDescent="0.2">
      <c r="A904" s="46">
        <f t="shared" si="26"/>
        <v>0</v>
      </c>
      <c r="D904" s="27">
        <v>1</v>
      </c>
      <c r="E904" s="25" t="s">
        <v>750</v>
      </c>
      <c r="F904" s="22" t="s">
        <v>42</v>
      </c>
      <c r="G904" s="29" t="s">
        <v>13</v>
      </c>
      <c r="H904" s="20" t="s">
        <v>751</v>
      </c>
      <c r="I904" s="85"/>
      <c r="J904" s="20"/>
      <c r="K904" s="37" t="s">
        <v>735</v>
      </c>
      <c r="L904" s="32" t="s">
        <v>752</v>
      </c>
      <c r="O904" s="1" t="s">
        <v>907</v>
      </c>
    </row>
    <row r="905" spans="1:15" x14ac:dyDescent="0.2">
      <c r="A905" s="46">
        <f t="shared" si="26"/>
        <v>2</v>
      </c>
      <c r="B905" s="27">
        <v>1</v>
      </c>
      <c r="C905" s="27">
        <v>1</v>
      </c>
      <c r="D905" s="27">
        <v>1</v>
      </c>
      <c r="E905" s="25" t="s">
        <v>750</v>
      </c>
      <c r="F905" s="22" t="s">
        <v>42</v>
      </c>
      <c r="G905" s="29"/>
      <c r="H905" s="30">
        <v>551</v>
      </c>
      <c r="I905" s="85" t="s">
        <v>920</v>
      </c>
      <c r="J905" s="20" t="s">
        <v>929</v>
      </c>
      <c r="K905" s="37" t="s">
        <v>22</v>
      </c>
      <c r="L905" s="31">
        <v>129612</v>
      </c>
      <c r="O905" s="1" t="s">
        <v>907</v>
      </c>
    </row>
    <row r="906" spans="1:15" x14ac:dyDescent="0.2">
      <c r="A906" s="46">
        <f t="shared" si="26"/>
        <v>3</v>
      </c>
      <c r="B906" s="27">
        <v>1</v>
      </c>
      <c r="C906" s="27">
        <v>2</v>
      </c>
      <c r="E906" s="25" t="s">
        <v>750</v>
      </c>
      <c r="F906" s="22" t="s">
        <v>27</v>
      </c>
      <c r="G906" s="29" t="s">
        <v>13</v>
      </c>
      <c r="H906" s="20">
        <v>551</v>
      </c>
      <c r="I906" s="85"/>
      <c r="J906" s="20"/>
      <c r="K906" s="37" t="s">
        <v>14</v>
      </c>
      <c r="L906" s="32" t="s">
        <v>13</v>
      </c>
      <c r="N906" s="1" t="s">
        <v>887</v>
      </c>
      <c r="O906" s="1" t="s">
        <v>907</v>
      </c>
    </row>
    <row r="907" spans="1:15" x14ac:dyDescent="0.2">
      <c r="A907" s="46">
        <f t="shared" si="26"/>
        <v>2</v>
      </c>
      <c r="B907" s="27">
        <v>1</v>
      </c>
      <c r="C907" s="27">
        <v>1</v>
      </c>
      <c r="E907" s="25" t="s">
        <v>750</v>
      </c>
      <c r="F907" s="22" t="s">
        <v>30</v>
      </c>
      <c r="G907" s="29" t="s">
        <v>13</v>
      </c>
      <c r="H907" s="20" t="s">
        <v>13</v>
      </c>
      <c r="I907" s="85"/>
      <c r="J907" s="20"/>
      <c r="K907" s="37" t="s">
        <v>17</v>
      </c>
      <c r="L907" s="32" t="s">
        <v>13</v>
      </c>
      <c r="O907" s="1" t="s">
        <v>907</v>
      </c>
    </row>
    <row r="908" spans="1:15" x14ac:dyDescent="0.2">
      <c r="A908" s="46">
        <f t="shared" si="26"/>
        <v>0</v>
      </c>
      <c r="E908" s="25" t="s">
        <v>750</v>
      </c>
      <c r="F908" s="22" t="s">
        <v>30</v>
      </c>
      <c r="G908" s="29" t="s">
        <v>13</v>
      </c>
      <c r="H908" s="20">
        <v>551</v>
      </c>
      <c r="I908" s="85"/>
      <c r="J908" s="20"/>
      <c r="K908" s="37" t="s">
        <v>14</v>
      </c>
      <c r="L908" s="32" t="s">
        <v>13</v>
      </c>
      <c r="N908" s="1" t="s">
        <v>888</v>
      </c>
      <c r="O908" s="1" t="s">
        <v>907</v>
      </c>
    </row>
    <row r="909" spans="1:15" x14ac:dyDescent="0.2">
      <c r="A909" s="46">
        <f t="shared" si="26"/>
        <v>0</v>
      </c>
      <c r="E909" s="25" t="s">
        <v>750</v>
      </c>
      <c r="F909" s="22" t="s">
        <v>51</v>
      </c>
      <c r="G909" s="29" t="s">
        <v>13</v>
      </c>
      <c r="H909" s="20">
        <v>551</v>
      </c>
      <c r="I909" s="85"/>
      <c r="J909" s="20"/>
      <c r="K909" s="37" t="s">
        <v>76</v>
      </c>
      <c r="L909" s="32" t="s">
        <v>13</v>
      </c>
      <c r="M909" t="s">
        <v>894</v>
      </c>
      <c r="N909" s="1" t="s">
        <v>888</v>
      </c>
      <c r="O909" s="1" t="s">
        <v>907</v>
      </c>
    </row>
    <row r="910" spans="1:15" x14ac:dyDescent="0.2">
      <c r="A910" s="46">
        <f t="shared" si="26"/>
        <v>1</v>
      </c>
      <c r="B910" s="27">
        <v>1</v>
      </c>
      <c r="E910" s="25" t="s">
        <v>750</v>
      </c>
      <c r="F910" s="22" t="s">
        <v>51</v>
      </c>
      <c r="G910" s="29" t="s">
        <v>13</v>
      </c>
      <c r="H910" s="20">
        <v>551</v>
      </c>
      <c r="I910" s="85" t="s">
        <v>920</v>
      </c>
      <c r="J910" s="20" t="s">
        <v>929</v>
      </c>
      <c r="K910" s="37" t="s">
        <v>22</v>
      </c>
      <c r="L910" s="32">
        <v>129610</v>
      </c>
      <c r="M910" s="1" t="s">
        <v>140</v>
      </c>
      <c r="N910" s="1" t="s">
        <v>888</v>
      </c>
      <c r="O910" s="1" t="s">
        <v>907</v>
      </c>
    </row>
    <row r="911" spans="1:15" x14ac:dyDescent="0.2">
      <c r="A911" s="46">
        <f t="shared" si="26"/>
        <v>1</v>
      </c>
      <c r="B911" s="27">
        <v>1</v>
      </c>
      <c r="D911" s="27">
        <v>1</v>
      </c>
      <c r="E911" s="25" t="s">
        <v>750</v>
      </c>
      <c r="F911" s="22" t="s">
        <v>96</v>
      </c>
      <c r="G911" s="29" t="s">
        <v>13</v>
      </c>
      <c r="H911" s="20" t="s">
        <v>13</v>
      </c>
      <c r="I911" s="85"/>
      <c r="J911" s="20"/>
      <c r="K911" s="37" t="s">
        <v>17</v>
      </c>
      <c r="L911" s="32" t="s">
        <v>13</v>
      </c>
      <c r="O911" s="1" t="s">
        <v>907</v>
      </c>
    </row>
    <row r="912" spans="1:15" x14ac:dyDescent="0.2">
      <c r="A912" s="46">
        <f t="shared" si="26"/>
        <v>2</v>
      </c>
      <c r="B912" s="27">
        <v>1</v>
      </c>
      <c r="C912" s="27">
        <v>1</v>
      </c>
      <c r="E912" s="25" t="s">
        <v>750</v>
      </c>
      <c r="F912" s="22" t="s">
        <v>33</v>
      </c>
      <c r="G912" s="29" t="s">
        <v>13</v>
      </c>
      <c r="H912" s="20" t="s">
        <v>751</v>
      </c>
      <c r="I912" s="85"/>
      <c r="J912" s="20"/>
      <c r="K912" s="37" t="s">
        <v>735</v>
      </c>
      <c r="L912" s="32" t="s">
        <v>753</v>
      </c>
      <c r="N912" s="1" t="s">
        <v>891</v>
      </c>
      <c r="O912" s="1" t="s">
        <v>907</v>
      </c>
    </row>
    <row r="913" spans="1:15" x14ac:dyDescent="0.2">
      <c r="A913" s="46">
        <f t="shared" si="26"/>
        <v>2</v>
      </c>
      <c r="B913" s="27">
        <v>1</v>
      </c>
      <c r="C913" s="27">
        <v>1</v>
      </c>
      <c r="E913" s="25" t="s">
        <v>750</v>
      </c>
      <c r="F913" s="22" t="s">
        <v>90</v>
      </c>
      <c r="G913" s="29" t="s">
        <v>13</v>
      </c>
      <c r="H913" s="20">
        <v>551</v>
      </c>
      <c r="I913" s="85" t="s">
        <v>920</v>
      </c>
      <c r="J913" s="20" t="s">
        <v>929</v>
      </c>
      <c r="K913" s="37" t="s">
        <v>22</v>
      </c>
      <c r="L913" s="32" t="s">
        <v>13</v>
      </c>
      <c r="M913" t="s">
        <v>754</v>
      </c>
      <c r="N913" s="1" t="s">
        <v>886</v>
      </c>
      <c r="O913" s="1" t="s">
        <v>907</v>
      </c>
    </row>
    <row r="914" spans="1:15" x14ac:dyDescent="0.2">
      <c r="A914" s="46">
        <f t="shared" si="26"/>
        <v>2</v>
      </c>
      <c r="B914" s="27">
        <v>1</v>
      </c>
      <c r="C914" s="27">
        <v>1</v>
      </c>
      <c r="E914" s="25" t="s">
        <v>755</v>
      </c>
      <c r="F914" s="22" t="s">
        <v>42</v>
      </c>
      <c r="G914" s="29" t="s">
        <v>13</v>
      </c>
      <c r="H914" s="20">
        <v>551</v>
      </c>
      <c r="I914" s="85"/>
      <c r="J914" s="20"/>
      <c r="K914" s="37" t="s">
        <v>14</v>
      </c>
      <c r="L914" s="32">
        <v>129611</v>
      </c>
      <c r="N914" s="1" t="s">
        <v>885</v>
      </c>
      <c r="O914" s="1" t="s">
        <v>907</v>
      </c>
    </row>
    <row r="915" spans="1:15" x14ac:dyDescent="0.2">
      <c r="A915" s="46">
        <f t="shared" si="26"/>
        <v>3</v>
      </c>
      <c r="B915" s="27">
        <v>1</v>
      </c>
      <c r="C915" s="27">
        <v>2</v>
      </c>
      <c r="E915" s="25" t="s">
        <v>755</v>
      </c>
      <c r="F915" s="22" t="s">
        <v>871</v>
      </c>
      <c r="G915" s="29"/>
      <c r="H915" s="20" t="s">
        <v>965</v>
      </c>
      <c r="I915" s="85" t="s">
        <v>920</v>
      </c>
      <c r="J915" s="20" t="s">
        <v>931</v>
      </c>
      <c r="K915" s="37" t="s">
        <v>203</v>
      </c>
      <c r="L915" s="32">
        <v>749806</v>
      </c>
      <c r="M915" t="s">
        <v>968</v>
      </c>
      <c r="O915" s="1" t="s">
        <v>907</v>
      </c>
    </row>
    <row r="916" spans="1:15" x14ac:dyDescent="0.2">
      <c r="A916" s="46">
        <f t="shared" si="26"/>
        <v>1</v>
      </c>
      <c r="B916" s="27">
        <v>1</v>
      </c>
      <c r="E916" s="25" t="s">
        <v>756</v>
      </c>
      <c r="F916" s="22" t="s">
        <v>12</v>
      </c>
      <c r="G916" s="29"/>
      <c r="H916" s="30"/>
      <c r="I916" s="84"/>
      <c r="J916" s="30"/>
      <c r="K916" s="37" t="s">
        <v>14</v>
      </c>
      <c r="L916" s="31"/>
      <c r="O916" s="1" t="s">
        <v>907</v>
      </c>
    </row>
    <row r="917" spans="1:15" x14ac:dyDescent="0.2">
      <c r="A917" s="46">
        <f t="shared" si="26"/>
        <v>1</v>
      </c>
      <c r="B917" s="27">
        <v>1</v>
      </c>
      <c r="E917" s="25" t="s">
        <v>757</v>
      </c>
      <c r="F917" s="22" t="s">
        <v>24</v>
      </c>
      <c r="G917" s="29"/>
      <c r="H917" s="30"/>
      <c r="I917" s="84"/>
      <c r="J917" s="30"/>
      <c r="K917" s="37" t="s">
        <v>758</v>
      </c>
      <c r="L917" s="31">
        <v>612598</v>
      </c>
      <c r="O917" s="1" t="s">
        <v>907</v>
      </c>
    </row>
    <row r="918" spans="1:15" ht="19" x14ac:dyDescent="0.25">
      <c r="A918" s="46">
        <v>2</v>
      </c>
      <c r="B918" s="27">
        <v>1</v>
      </c>
      <c r="C918" s="27">
        <v>1</v>
      </c>
      <c r="E918" s="44" t="s">
        <v>1209</v>
      </c>
      <c r="F918" s="80" t="s">
        <v>961</v>
      </c>
      <c r="G918" s="45"/>
      <c r="H918" s="23" t="s">
        <v>1190</v>
      </c>
      <c r="I918" s="97" t="s">
        <v>920</v>
      </c>
      <c r="J918" s="23"/>
      <c r="K918" s="41" t="s">
        <v>1191</v>
      </c>
      <c r="L918" s="35">
        <v>568166</v>
      </c>
      <c r="O918" s="1"/>
    </row>
    <row r="919" spans="1:15" ht="19" x14ac:dyDescent="0.25">
      <c r="A919" s="46">
        <f t="shared" ref="A919:A962" si="27">B919+C919</f>
        <v>2</v>
      </c>
      <c r="B919" s="27">
        <v>1</v>
      </c>
      <c r="C919" s="27">
        <v>1</v>
      </c>
      <c r="E919" s="44" t="s">
        <v>1209</v>
      </c>
      <c r="F919" s="80" t="s">
        <v>761</v>
      </c>
      <c r="G919" s="45" t="s">
        <v>13</v>
      </c>
      <c r="H919" s="23" t="s">
        <v>762</v>
      </c>
      <c r="I919" s="97"/>
      <c r="J919" s="23"/>
      <c r="K919" s="41" t="s">
        <v>35</v>
      </c>
      <c r="L919" s="35" t="s">
        <v>763</v>
      </c>
      <c r="O919" s="1" t="s">
        <v>907</v>
      </c>
    </row>
    <row r="920" spans="1:15" ht="19" x14ac:dyDescent="0.25">
      <c r="A920" s="46">
        <f t="shared" si="27"/>
        <v>1</v>
      </c>
      <c r="B920" s="27">
        <v>1</v>
      </c>
      <c r="E920" s="25" t="s">
        <v>1209</v>
      </c>
      <c r="F920" s="80" t="s">
        <v>70</v>
      </c>
      <c r="G920" s="29" t="s">
        <v>13</v>
      </c>
      <c r="H920" s="20" t="s">
        <v>764</v>
      </c>
      <c r="I920" s="85"/>
      <c r="J920" s="20"/>
      <c r="K920" s="37" t="s">
        <v>735</v>
      </c>
      <c r="L920" s="35" t="s">
        <v>765</v>
      </c>
      <c r="O920" s="1" t="s">
        <v>907</v>
      </c>
    </row>
    <row r="921" spans="1:15" x14ac:dyDescent="0.2">
      <c r="A921" s="46">
        <f t="shared" si="27"/>
        <v>3</v>
      </c>
      <c r="B921" s="27">
        <v>1</v>
      </c>
      <c r="C921" s="27">
        <v>2</v>
      </c>
      <c r="E921" s="25" t="s">
        <v>1209</v>
      </c>
      <c r="F921" s="22" t="s">
        <v>90</v>
      </c>
      <c r="G921" s="29" t="s">
        <v>13</v>
      </c>
      <c r="H921" s="20" t="s">
        <v>764</v>
      </c>
      <c r="I921" s="85"/>
      <c r="J921" s="20"/>
      <c r="K921" s="37" t="s">
        <v>735</v>
      </c>
      <c r="L921" s="32" t="s">
        <v>766</v>
      </c>
      <c r="O921" s="1" t="s">
        <v>907</v>
      </c>
    </row>
    <row r="922" spans="1:15" x14ac:dyDescent="0.2">
      <c r="A922" s="46">
        <f t="shared" si="27"/>
        <v>1</v>
      </c>
      <c r="B922" s="27">
        <v>1</v>
      </c>
      <c r="E922" s="25" t="s">
        <v>759</v>
      </c>
      <c r="F922" s="22" t="s">
        <v>27</v>
      </c>
      <c r="G922" s="29"/>
      <c r="H922" s="30"/>
      <c r="I922" s="84"/>
      <c r="J922" s="30"/>
      <c r="K922" s="37" t="s">
        <v>760</v>
      </c>
      <c r="L922" s="31">
        <v>69968</v>
      </c>
      <c r="O922" s="1" t="s">
        <v>907</v>
      </c>
    </row>
    <row r="923" spans="1:15" x14ac:dyDescent="0.2">
      <c r="A923" s="46">
        <f t="shared" si="27"/>
        <v>1</v>
      </c>
      <c r="B923" s="27">
        <v>1</v>
      </c>
      <c r="E923" s="25" t="s">
        <v>767</v>
      </c>
      <c r="F923" s="22" t="s">
        <v>24</v>
      </c>
      <c r="G923" s="29" t="s">
        <v>13</v>
      </c>
      <c r="H923" s="20" t="s">
        <v>13</v>
      </c>
      <c r="I923" s="85"/>
      <c r="J923" s="20"/>
      <c r="K923" s="37" t="s">
        <v>17</v>
      </c>
      <c r="L923" s="32" t="s">
        <v>13</v>
      </c>
      <c r="O923" s="1" t="s">
        <v>907</v>
      </c>
    </row>
    <row r="924" spans="1:15" x14ac:dyDescent="0.2">
      <c r="A924" s="46">
        <f t="shared" si="27"/>
        <v>2</v>
      </c>
      <c r="B924" s="27">
        <v>1</v>
      </c>
      <c r="C924" s="27">
        <v>1</v>
      </c>
      <c r="E924" s="25" t="s">
        <v>767</v>
      </c>
      <c r="F924" s="22" t="s">
        <v>26</v>
      </c>
      <c r="G924" s="29" t="s">
        <v>771</v>
      </c>
      <c r="H924" s="30"/>
      <c r="I924" s="84"/>
      <c r="J924" s="30"/>
      <c r="K924" s="37" t="s">
        <v>17</v>
      </c>
      <c r="L924" s="31"/>
      <c r="O924" s="1" t="s">
        <v>907</v>
      </c>
    </row>
    <row r="925" spans="1:15" x14ac:dyDescent="0.2">
      <c r="A925" s="46">
        <f t="shared" si="27"/>
        <v>3</v>
      </c>
      <c r="B925" s="27">
        <v>1</v>
      </c>
      <c r="C925" s="27">
        <v>2</v>
      </c>
      <c r="E925" s="25" t="s">
        <v>767</v>
      </c>
      <c r="F925" s="22" t="s">
        <v>323</v>
      </c>
      <c r="G925" s="29" t="s">
        <v>13</v>
      </c>
      <c r="H925" s="20" t="s">
        <v>520</v>
      </c>
      <c r="I925" s="85"/>
      <c r="J925" s="6" t="s">
        <v>317</v>
      </c>
      <c r="K925" s="37" t="s">
        <v>22</v>
      </c>
      <c r="L925" s="32" t="s">
        <v>769</v>
      </c>
      <c r="N925" s="1" t="s">
        <v>888</v>
      </c>
      <c r="O925" s="1" t="s">
        <v>907</v>
      </c>
    </row>
    <row r="926" spans="1:15" x14ac:dyDescent="0.2">
      <c r="A926" s="46">
        <f t="shared" si="27"/>
        <v>3</v>
      </c>
      <c r="B926" s="27">
        <v>1</v>
      </c>
      <c r="C926" s="27">
        <v>2</v>
      </c>
      <c r="E926" s="25" t="s">
        <v>767</v>
      </c>
      <c r="F926" s="22" t="s">
        <v>12</v>
      </c>
      <c r="G926" s="29" t="s">
        <v>13</v>
      </c>
      <c r="H926" s="20" t="s">
        <v>768</v>
      </c>
      <c r="I926" s="85"/>
      <c r="J926" s="20"/>
      <c r="K926" s="37" t="s">
        <v>17</v>
      </c>
      <c r="L926" s="32" t="s">
        <v>13</v>
      </c>
      <c r="O926" s="1" t="s">
        <v>907</v>
      </c>
    </row>
    <row r="927" spans="1:15" x14ac:dyDescent="0.2">
      <c r="A927" s="46">
        <f t="shared" si="27"/>
        <v>1</v>
      </c>
      <c r="B927" s="27">
        <v>1</v>
      </c>
      <c r="E927" s="25" t="s">
        <v>767</v>
      </c>
      <c r="F927" s="22" t="s">
        <v>27</v>
      </c>
      <c r="G927" s="29" t="s">
        <v>13</v>
      </c>
      <c r="H927" s="20" t="s">
        <v>520</v>
      </c>
      <c r="I927" s="85"/>
      <c r="J927" s="20"/>
      <c r="K927" s="37" t="s">
        <v>22</v>
      </c>
      <c r="L927" s="32">
        <v>109204</v>
      </c>
      <c r="N927" s="1" t="s">
        <v>887</v>
      </c>
      <c r="O927" s="1" t="s">
        <v>907</v>
      </c>
    </row>
    <row r="928" spans="1:15" x14ac:dyDescent="0.2">
      <c r="A928" s="46">
        <f t="shared" si="27"/>
        <v>1</v>
      </c>
      <c r="B928" s="27">
        <v>1</v>
      </c>
      <c r="E928" s="25" t="s">
        <v>767</v>
      </c>
      <c r="F928" s="22" t="s">
        <v>12</v>
      </c>
      <c r="G928" s="29" t="s">
        <v>13</v>
      </c>
      <c r="H928" s="20" t="s">
        <v>768</v>
      </c>
      <c r="I928" s="85"/>
      <c r="J928" s="20"/>
      <c r="K928" s="37" t="s">
        <v>247</v>
      </c>
      <c r="L928" s="32">
        <v>553169</v>
      </c>
      <c r="O928" s="1" t="s">
        <v>907</v>
      </c>
    </row>
    <row r="929" spans="1:15" x14ac:dyDescent="0.2">
      <c r="A929" s="46">
        <f t="shared" si="27"/>
        <v>6</v>
      </c>
      <c r="B929" s="27">
        <v>1</v>
      </c>
      <c r="C929" s="27">
        <v>5</v>
      </c>
      <c r="E929" s="25" t="s">
        <v>767</v>
      </c>
      <c r="F929" s="22" t="s">
        <v>85</v>
      </c>
      <c r="G929" s="5" t="s">
        <v>1132</v>
      </c>
      <c r="H929" s="20" t="s">
        <v>520</v>
      </c>
      <c r="I929" s="27" t="s">
        <v>920</v>
      </c>
      <c r="J929" s="6" t="s">
        <v>317</v>
      </c>
      <c r="K929" s="37" t="s">
        <v>22</v>
      </c>
      <c r="L929" s="32">
        <v>109230</v>
      </c>
      <c r="O929" s="1" t="s">
        <v>907</v>
      </c>
    </row>
    <row r="930" spans="1:15" x14ac:dyDescent="0.2">
      <c r="A930" s="46">
        <f t="shared" si="27"/>
        <v>4</v>
      </c>
      <c r="B930" s="27">
        <v>1</v>
      </c>
      <c r="C930" s="27">
        <v>3</v>
      </c>
      <c r="E930" s="25" t="s">
        <v>767</v>
      </c>
      <c r="F930" s="22" t="s">
        <v>66</v>
      </c>
      <c r="G930" s="29" t="s">
        <v>13</v>
      </c>
      <c r="H930" s="20" t="s">
        <v>520</v>
      </c>
      <c r="I930" s="85"/>
      <c r="J930" s="20"/>
      <c r="K930" s="37" t="s">
        <v>22</v>
      </c>
      <c r="L930" s="32">
        <v>109241</v>
      </c>
      <c r="N930" s="1" t="s">
        <v>888</v>
      </c>
      <c r="O930" s="1" t="s">
        <v>907</v>
      </c>
    </row>
    <row r="931" spans="1:15" x14ac:dyDescent="0.2">
      <c r="A931" s="46">
        <f t="shared" si="27"/>
        <v>1</v>
      </c>
      <c r="B931" s="27">
        <v>1</v>
      </c>
      <c r="E931" s="25" t="s">
        <v>767</v>
      </c>
      <c r="F931" s="22" t="s">
        <v>51</v>
      </c>
      <c r="G931" s="5" t="s">
        <v>1132</v>
      </c>
      <c r="H931" s="20" t="s">
        <v>520</v>
      </c>
      <c r="I931" s="27" t="s">
        <v>920</v>
      </c>
      <c r="J931" s="6" t="s">
        <v>317</v>
      </c>
      <c r="K931" s="37" t="s">
        <v>22</v>
      </c>
      <c r="L931" s="32">
        <v>109226</v>
      </c>
      <c r="O931" s="1" t="s">
        <v>907</v>
      </c>
    </row>
    <row r="932" spans="1:15" x14ac:dyDescent="0.2">
      <c r="A932" s="46">
        <f t="shared" si="27"/>
        <v>1</v>
      </c>
      <c r="B932" s="27">
        <v>1</v>
      </c>
      <c r="E932" s="25" t="s">
        <v>767</v>
      </c>
      <c r="F932" s="22" t="s">
        <v>96</v>
      </c>
      <c r="G932" s="29" t="s">
        <v>13</v>
      </c>
      <c r="H932" s="20" t="s">
        <v>768</v>
      </c>
      <c r="I932" s="85"/>
      <c r="J932" s="20"/>
      <c r="K932" s="37" t="s">
        <v>76</v>
      </c>
      <c r="L932" s="32" t="s">
        <v>13</v>
      </c>
      <c r="O932" s="1" t="s">
        <v>907</v>
      </c>
    </row>
    <row r="933" spans="1:15" x14ac:dyDescent="0.2">
      <c r="A933" s="46">
        <f t="shared" si="27"/>
        <v>0</v>
      </c>
      <c r="D933" s="27">
        <v>1</v>
      </c>
      <c r="E933" s="25" t="s">
        <v>767</v>
      </c>
      <c r="F933" s="22" t="s">
        <v>96</v>
      </c>
      <c r="G933" s="29" t="s">
        <v>13</v>
      </c>
      <c r="H933" s="20" t="s">
        <v>768</v>
      </c>
      <c r="I933" s="85"/>
      <c r="J933" s="20"/>
      <c r="K933" s="37" t="s">
        <v>17</v>
      </c>
      <c r="L933" s="32" t="s">
        <v>13</v>
      </c>
      <c r="O933" s="1" t="s">
        <v>907</v>
      </c>
    </row>
    <row r="934" spans="1:15" x14ac:dyDescent="0.2">
      <c r="A934" s="46">
        <f t="shared" si="27"/>
        <v>3</v>
      </c>
      <c r="B934" s="27">
        <v>1</v>
      </c>
      <c r="C934" s="27">
        <v>2</v>
      </c>
      <c r="E934" s="25" t="s">
        <v>767</v>
      </c>
      <c r="F934" s="22" t="s">
        <v>33</v>
      </c>
      <c r="G934" s="29" t="s">
        <v>770</v>
      </c>
      <c r="H934" s="30" t="s">
        <v>520</v>
      </c>
      <c r="I934" s="84"/>
      <c r="J934" s="30"/>
      <c r="K934" s="37" t="s">
        <v>31</v>
      </c>
      <c r="L934" s="31">
        <v>553172</v>
      </c>
      <c r="O934" s="1" t="s">
        <v>907</v>
      </c>
    </row>
    <row r="935" spans="1:15" x14ac:dyDescent="0.2">
      <c r="A935" s="46">
        <f t="shared" si="27"/>
        <v>3</v>
      </c>
      <c r="B935" s="27">
        <v>1</v>
      </c>
      <c r="C935" s="27">
        <v>2</v>
      </c>
      <c r="E935" s="2" t="s">
        <v>767</v>
      </c>
      <c r="F935" s="7" t="s">
        <v>33</v>
      </c>
      <c r="G935" s="5" t="s">
        <v>1132</v>
      </c>
      <c r="H935" s="6" t="s">
        <v>520</v>
      </c>
      <c r="I935" s="27" t="s">
        <v>920</v>
      </c>
      <c r="J935" s="6" t="s">
        <v>317</v>
      </c>
      <c r="K935" s="39" t="s">
        <v>22</v>
      </c>
      <c r="L935" s="34">
        <v>109208</v>
      </c>
      <c r="O935" s="1" t="s">
        <v>907</v>
      </c>
    </row>
    <row r="936" spans="1:15" x14ac:dyDescent="0.2">
      <c r="A936" s="46">
        <f t="shared" si="27"/>
        <v>2</v>
      </c>
      <c r="B936" s="27">
        <v>2</v>
      </c>
      <c r="E936" s="25" t="s">
        <v>772</v>
      </c>
      <c r="F936" s="22" t="s">
        <v>24</v>
      </c>
      <c r="G936" s="29"/>
      <c r="H936" s="30" t="s">
        <v>773</v>
      </c>
      <c r="I936" s="84"/>
      <c r="J936" s="30"/>
      <c r="K936" s="37" t="s">
        <v>14</v>
      </c>
      <c r="L936" s="31"/>
      <c r="O936" s="1" t="s">
        <v>907</v>
      </c>
    </row>
    <row r="937" spans="1:15" x14ac:dyDescent="0.2">
      <c r="A937" s="46">
        <f t="shared" si="27"/>
        <v>1</v>
      </c>
      <c r="B937" s="27">
        <v>1</v>
      </c>
      <c r="E937" s="25" t="s">
        <v>772</v>
      </c>
      <c r="F937" s="22" t="s">
        <v>16</v>
      </c>
      <c r="G937" s="29" t="s">
        <v>489</v>
      </c>
      <c r="H937" s="30" t="s">
        <v>773</v>
      </c>
      <c r="I937" s="84"/>
      <c r="J937" s="30"/>
      <c r="K937" s="37" t="s">
        <v>14</v>
      </c>
      <c r="L937" s="31"/>
      <c r="O937" s="1" t="s">
        <v>907</v>
      </c>
    </row>
    <row r="938" spans="1:15" x14ac:dyDescent="0.2">
      <c r="A938" s="46">
        <f t="shared" si="27"/>
        <v>1</v>
      </c>
      <c r="B938" s="27">
        <v>1</v>
      </c>
      <c r="E938" s="25" t="s">
        <v>772</v>
      </c>
      <c r="F938" s="22" t="s">
        <v>96</v>
      </c>
      <c r="G938" s="29"/>
      <c r="H938" s="30"/>
      <c r="I938" s="84"/>
      <c r="J938" s="30"/>
      <c r="K938" s="37" t="s">
        <v>14</v>
      </c>
      <c r="L938" s="31"/>
      <c r="O938" s="1" t="s">
        <v>907</v>
      </c>
    </row>
    <row r="939" spans="1:15" x14ac:dyDescent="0.2">
      <c r="A939" s="46">
        <f t="shared" si="27"/>
        <v>1</v>
      </c>
      <c r="B939" s="27">
        <v>1</v>
      </c>
      <c r="E939" s="25" t="s">
        <v>772</v>
      </c>
      <c r="F939" s="22" t="s">
        <v>33</v>
      </c>
      <c r="G939" s="29"/>
      <c r="H939" s="30" t="s">
        <v>773</v>
      </c>
      <c r="I939" s="84"/>
      <c r="J939" s="30"/>
      <c r="K939" s="37" t="s">
        <v>22</v>
      </c>
      <c r="L939" s="31">
        <v>118105</v>
      </c>
      <c r="O939" s="1" t="s">
        <v>907</v>
      </c>
    </row>
    <row r="940" spans="1:15" x14ac:dyDescent="0.2">
      <c r="A940" s="46">
        <f t="shared" si="27"/>
        <v>1</v>
      </c>
      <c r="B940" s="27">
        <v>1</v>
      </c>
      <c r="E940" s="25" t="s">
        <v>774</v>
      </c>
      <c r="F940" s="22" t="s">
        <v>26</v>
      </c>
      <c r="G940" s="29" t="s">
        <v>775</v>
      </c>
      <c r="H940" s="30"/>
      <c r="I940" s="84"/>
      <c r="J940" s="30"/>
      <c r="K940" s="37" t="s">
        <v>17</v>
      </c>
      <c r="L940" s="31"/>
      <c r="O940" s="1" t="s">
        <v>907</v>
      </c>
    </row>
    <row r="941" spans="1:15" x14ac:dyDescent="0.2">
      <c r="A941" s="46">
        <f t="shared" si="27"/>
        <v>1</v>
      </c>
      <c r="B941" s="27">
        <v>1</v>
      </c>
      <c r="E941" s="25" t="s">
        <v>774</v>
      </c>
      <c r="F941" s="22" t="s">
        <v>42</v>
      </c>
      <c r="G941" s="29" t="s">
        <v>775</v>
      </c>
      <c r="H941" s="30"/>
      <c r="I941" s="84"/>
      <c r="J941" s="30"/>
      <c r="K941" s="37" t="s">
        <v>17</v>
      </c>
      <c r="L941" s="31"/>
      <c r="O941" s="1" t="s">
        <v>907</v>
      </c>
    </row>
    <row r="942" spans="1:15" x14ac:dyDescent="0.2">
      <c r="A942" s="46">
        <f t="shared" si="27"/>
        <v>3</v>
      </c>
      <c r="B942" s="27">
        <v>1</v>
      </c>
      <c r="C942" s="27">
        <v>2</v>
      </c>
      <c r="E942" s="25" t="s">
        <v>776</v>
      </c>
      <c r="F942" s="22" t="s">
        <v>84</v>
      </c>
      <c r="G942" s="29" t="s">
        <v>775</v>
      </c>
      <c r="H942" s="30" t="s">
        <v>773</v>
      </c>
      <c r="I942" s="84"/>
      <c r="J942" s="30"/>
      <c r="K942" s="37" t="s">
        <v>22</v>
      </c>
      <c r="L942" s="31">
        <v>118136</v>
      </c>
      <c r="O942" s="1" t="s">
        <v>907</v>
      </c>
    </row>
    <row r="943" spans="1:15" x14ac:dyDescent="0.2">
      <c r="A943" s="46">
        <f t="shared" si="27"/>
        <v>1</v>
      </c>
      <c r="B943" s="27">
        <v>1</v>
      </c>
      <c r="E943" s="25" t="s">
        <v>776</v>
      </c>
      <c r="F943" s="22" t="s">
        <v>90</v>
      </c>
      <c r="G943" s="29" t="s">
        <v>775</v>
      </c>
      <c r="H943" s="30" t="s">
        <v>773</v>
      </c>
      <c r="I943" s="84"/>
      <c r="J943" s="30"/>
      <c r="K943" s="37" t="s">
        <v>22</v>
      </c>
      <c r="L943" s="31">
        <v>118118</v>
      </c>
      <c r="O943" s="1" t="s">
        <v>907</v>
      </c>
    </row>
    <row r="944" spans="1:15" x14ac:dyDescent="0.2">
      <c r="A944" s="46">
        <f t="shared" si="27"/>
        <v>1</v>
      </c>
      <c r="B944" s="27">
        <v>1</v>
      </c>
      <c r="E944" s="25" t="s">
        <v>777</v>
      </c>
      <c r="F944" s="22" t="s">
        <v>24</v>
      </c>
      <c r="G944" s="29"/>
      <c r="H944" s="30" t="s">
        <v>488</v>
      </c>
      <c r="I944" s="84"/>
      <c r="J944" s="30"/>
      <c r="K944" s="37" t="s">
        <v>17</v>
      </c>
      <c r="L944" s="31"/>
      <c r="O944" s="1" t="s">
        <v>907</v>
      </c>
    </row>
    <row r="945" spans="1:15" x14ac:dyDescent="0.2">
      <c r="A945" s="46">
        <f t="shared" si="27"/>
        <v>1</v>
      </c>
      <c r="B945" s="27">
        <v>1</v>
      </c>
      <c r="E945" s="25" t="s">
        <v>777</v>
      </c>
      <c r="F945" s="22" t="s">
        <v>16</v>
      </c>
      <c r="G945" s="29" t="s">
        <v>489</v>
      </c>
      <c r="H945" s="30" t="s">
        <v>488</v>
      </c>
      <c r="I945" s="84"/>
      <c r="J945" s="30"/>
      <c r="K945" s="37" t="s">
        <v>17</v>
      </c>
      <c r="L945" s="31"/>
      <c r="O945" s="1" t="s">
        <v>907</v>
      </c>
    </row>
    <row r="946" spans="1:15" x14ac:dyDescent="0.2">
      <c r="A946" s="46">
        <f t="shared" si="27"/>
        <v>1</v>
      </c>
      <c r="B946" s="27">
        <v>1</v>
      </c>
      <c r="E946" s="25" t="s">
        <v>777</v>
      </c>
      <c r="F946" s="22" t="s">
        <v>778</v>
      </c>
      <c r="G946" s="29" t="s">
        <v>13</v>
      </c>
      <c r="H946" s="66" t="s">
        <v>779</v>
      </c>
      <c r="I946" s="101"/>
      <c r="J946" s="66"/>
      <c r="K946" s="37" t="s">
        <v>35</v>
      </c>
      <c r="L946" s="32" t="s">
        <v>780</v>
      </c>
      <c r="O946" s="1" t="s">
        <v>907</v>
      </c>
    </row>
    <row r="947" spans="1:15" x14ac:dyDescent="0.2">
      <c r="A947" s="46">
        <f t="shared" si="27"/>
        <v>1</v>
      </c>
      <c r="B947" s="27">
        <v>1</v>
      </c>
      <c r="E947" s="25" t="s">
        <v>777</v>
      </c>
      <c r="F947" s="22" t="s">
        <v>778</v>
      </c>
      <c r="G947" s="29" t="s">
        <v>13</v>
      </c>
      <c r="H947" s="66" t="s">
        <v>779</v>
      </c>
      <c r="I947" s="101"/>
      <c r="J947" s="66"/>
      <c r="K947" s="37" t="s">
        <v>35</v>
      </c>
      <c r="L947" s="32" t="s">
        <v>781</v>
      </c>
      <c r="O947" s="1" t="s">
        <v>907</v>
      </c>
    </row>
    <row r="948" spans="1:15" x14ac:dyDescent="0.2">
      <c r="A948" s="46">
        <f t="shared" si="27"/>
        <v>1</v>
      </c>
      <c r="B948" s="27">
        <v>1</v>
      </c>
      <c r="E948" s="25" t="s">
        <v>785</v>
      </c>
      <c r="F948" s="22" t="s">
        <v>42</v>
      </c>
      <c r="G948" s="29"/>
      <c r="H948" s="30"/>
      <c r="I948" s="84"/>
      <c r="J948" s="30"/>
      <c r="K948" s="37" t="s">
        <v>35</v>
      </c>
      <c r="L948" s="31" t="s">
        <v>786</v>
      </c>
      <c r="O948" s="1" t="s">
        <v>907</v>
      </c>
    </row>
    <row r="949" spans="1:15" x14ac:dyDescent="0.2">
      <c r="A949" s="46">
        <f t="shared" si="27"/>
        <v>1</v>
      </c>
      <c r="B949" s="27">
        <v>1</v>
      </c>
      <c r="E949" s="25" t="s">
        <v>782</v>
      </c>
      <c r="F949" s="22" t="s">
        <v>33</v>
      </c>
      <c r="G949" s="29"/>
      <c r="H949" s="30"/>
      <c r="I949" s="84"/>
      <c r="J949" s="30"/>
      <c r="K949" s="37" t="s">
        <v>783</v>
      </c>
      <c r="L949" s="31" t="s">
        <v>784</v>
      </c>
      <c r="O949" s="1" t="s">
        <v>907</v>
      </c>
    </row>
    <row r="950" spans="1:15" x14ac:dyDescent="0.2">
      <c r="A950" s="46">
        <f t="shared" si="27"/>
        <v>0</v>
      </c>
      <c r="E950" s="25" t="s">
        <v>787</v>
      </c>
      <c r="F950" s="22" t="s">
        <v>27</v>
      </c>
      <c r="G950" s="29" t="s">
        <v>13</v>
      </c>
      <c r="H950" s="20" t="s">
        <v>787</v>
      </c>
      <c r="I950" s="85" t="s">
        <v>920</v>
      </c>
      <c r="J950" s="20" t="s">
        <v>931</v>
      </c>
      <c r="K950" s="37" t="s">
        <v>76</v>
      </c>
      <c r="L950" s="32" t="s">
        <v>13</v>
      </c>
      <c r="N950" s="1" t="s">
        <v>886</v>
      </c>
      <c r="O950" s="1" t="s">
        <v>907</v>
      </c>
    </row>
    <row r="951" spans="1:15" x14ac:dyDescent="0.2">
      <c r="A951" s="46">
        <f t="shared" si="27"/>
        <v>4</v>
      </c>
      <c r="B951" s="27">
        <v>2</v>
      </c>
      <c r="C951" s="27">
        <v>2</v>
      </c>
      <c r="E951" s="25" t="s">
        <v>787</v>
      </c>
      <c r="F951" s="22" t="s">
        <v>27</v>
      </c>
      <c r="G951" s="29" t="s">
        <v>13</v>
      </c>
      <c r="H951" s="20" t="s">
        <v>788</v>
      </c>
      <c r="I951" s="85" t="s">
        <v>920</v>
      </c>
      <c r="J951" s="20" t="s">
        <v>931</v>
      </c>
      <c r="K951" s="42" t="s">
        <v>22</v>
      </c>
      <c r="L951" s="32">
        <v>116204</v>
      </c>
      <c r="O951" s="1" t="s">
        <v>907</v>
      </c>
    </row>
    <row r="952" spans="1:15" x14ac:dyDescent="0.2">
      <c r="A952" s="46">
        <f t="shared" si="27"/>
        <v>2</v>
      </c>
      <c r="B952" s="27">
        <v>1</v>
      </c>
      <c r="C952" s="27">
        <v>1</v>
      </c>
      <c r="E952" s="25" t="s">
        <v>787</v>
      </c>
      <c r="F952" s="22" t="s">
        <v>88</v>
      </c>
      <c r="G952" s="29" t="s">
        <v>13</v>
      </c>
      <c r="H952" s="20" t="s">
        <v>788</v>
      </c>
      <c r="I952" s="85" t="s">
        <v>920</v>
      </c>
      <c r="J952" s="20" t="s">
        <v>931</v>
      </c>
      <c r="K952" s="37" t="s">
        <v>22</v>
      </c>
      <c r="L952" s="32">
        <v>116245</v>
      </c>
      <c r="O952" s="1" t="s">
        <v>907</v>
      </c>
    </row>
    <row r="953" spans="1:15" x14ac:dyDescent="0.2">
      <c r="A953" s="46">
        <f t="shared" si="27"/>
        <v>2</v>
      </c>
      <c r="B953" s="27">
        <v>1</v>
      </c>
      <c r="C953" s="27">
        <v>1</v>
      </c>
      <c r="E953" s="25" t="s">
        <v>787</v>
      </c>
      <c r="F953" s="22" t="s">
        <v>30</v>
      </c>
      <c r="G953" s="29"/>
      <c r="H953" s="30" t="s">
        <v>86</v>
      </c>
      <c r="I953" s="85" t="s">
        <v>920</v>
      </c>
      <c r="J953" s="20" t="s">
        <v>931</v>
      </c>
      <c r="K953" s="37" t="s">
        <v>22</v>
      </c>
      <c r="L953" s="31">
        <v>116206</v>
      </c>
      <c r="O953" s="1" t="s">
        <v>907</v>
      </c>
    </row>
    <row r="954" spans="1:15" x14ac:dyDescent="0.2">
      <c r="A954" s="46">
        <f t="shared" si="27"/>
        <v>3</v>
      </c>
      <c r="B954" s="27">
        <v>1</v>
      </c>
      <c r="C954" s="27">
        <v>2</v>
      </c>
      <c r="E954" s="25" t="s">
        <v>787</v>
      </c>
      <c r="F954" s="22" t="s">
        <v>51</v>
      </c>
      <c r="G954" s="29" t="s">
        <v>13</v>
      </c>
      <c r="H954" s="20" t="s">
        <v>787</v>
      </c>
      <c r="I954" s="85" t="s">
        <v>920</v>
      </c>
      <c r="J954" s="20" t="s">
        <v>931</v>
      </c>
      <c r="K954" s="42" t="s">
        <v>22</v>
      </c>
      <c r="L954" s="32">
        <v>116232</v>
      </c>
      <c r="N954" s="1" t="s">
        <v>888</v>
      </c>
      <c r="O954" s="1" t="s">
        <v>907</v>
      </c>
    </row>
    <row r="955" spans="1:15" x14ac:dyDescent="0.2">
      <c r="A955" s="46">
        <f t="shared" si="27"/>
        <v>2</v>
      </c>
      <c r="B955" s="27">
        <v>1</v>
      </c>
      <c r="C955" s="27">
        <v>1</v>
      </c>
      <c r="E955" s="25" t="s">
        <v>787</v>
      </c>
      <c r="F955" s="22" t="s">
        <v>33</v>
      </c>
      <c r="G955" s="29"/>
      <c r="H955" s="30" t="s">
        <v>86</v>
      </c>
      <c r="I955" s="85" t="s">
        <v>920</v>
      </c>
      <c r="J955" s="20" t="s">
        <v>931</v>
      </c>
      <c r="K955" s="37" t="s">
        <v>54</v>
      </c>
      <c r="L955" s="31">
        <v>116208</v>
      </c>
      <c r="O955" s="1" t="s">
        <v>907</v>
      </c>
    </row>
    <row r="956" spans="1:15" x14ac:dyDescent="0.2">
      <c r="A956" s="46">
        <f t="shared" si="27"/>
        <v>1</v>
      </c>
      <c r="B956" s="27">
        <v>1</v>
      </c>
      <c r="E956" s="25" t="s">
        <v>789</v>
      </c>
      <c r="F956" s="22" t="s">
        <v>12</v>
      </c>
      <c r="G956" s="29" t="s">
        <v>790</v>
      </c>
      <c r="H956" s="30"/>
      <c r="I956" s="84"/>
      <c r="J956" s="30"/>
      <c r="K956" s="37" t="s">
        <v>20</v>
      </c>
      <c r="L956" s="31"/>
      <c r="O956" s="1" t="s">
        <v>907</v>
      </c>
    </row>
    <row r="957" spans="1:15" x14ac:dyDescent="0.2">
      <c r="A957" s="46">
        <f t="shared" si="27"/>
        <v>1</v>
      </c>
      <c r="B957" s="27">
        <v>1</v>
      </c>
      <c r="E957" s="25" t="s">
        <v>791</v>
      </c>
      <c r="F957" s="22" t="s">
        <v>27</v>
      </c>
      <c r="G957" s="29"/>
      <c r="H957" s="30" t="s">
        <v>305</v>
      </c>
      <c r="I957" s="84"/>
      <c r="J957" s="30"/>
      <c r="K957" s="37" t="s">
        <v>22</v>
      </c>
      <c r="L957" s="31">
        <v>119503</v>
      </c>
      <c r="O957" s="1" t="s">
        <v>907</v>
      </c>
    </row>
    <row r="958" spans="1:15" x14ac:dyDescent="0.2">
      <c r="A958" s="46">
        <f t="shared" si="27"/>
        <v>1</v>
      </c>
      <c r="B958" s="27">
        <v>1</v>
      </c>
      <c r="E958" s="25" t="s">
        <v>792</v>
      </c>
      <c r="F958" s="22" t="s">
        <v>70</v>
      </c>
      <c r="G958" s="29"/>
      <c r="H958" s="30" t="s">
        <v>793</v>
      </c>
      <c r="I958" s="84"/>
      <c r="J958" s="30"/>
      <c r="K958" s="37" t="s">
        <v>22</v>
      </c>
      <c r="L958" s="31">
        <v>130009</v>
      </c>
      <c r="O958" s="1" t="s">
        <v>907</v>
      </c>
    </row>
    <row r="959" spans="1:15" x14ac:dyDescent="0.2">
      <c r="A959" s="46">
        <f t="shared" si="27"/>
        <v>1</v>
      </c>
      <c r="B959" s="27">
        <v>1</v>
      </c>
      <c r="E959" s="25" t="s">
        <v>794</v>
      </c>
      <c r="F959" s="22" t="s">
        <v>16</v>
      </c>
      <c r="G959" s="29"/>
      <c r="H959" s="30" t="s">
        <v>795</v>
      </c>
      <c r="I959" s="84"/>
      <c r="J959" s="30"/>
      <c r="K959" s="37" t="s">
        <v>48</v>
      </c>
      <c r="L959" s="31" t="s">
        <v>796</v>
      </c>
      <c r="O959" s="1" t="s">
        <v>907</v>
      </c>
    </row>
    <row r="960" spans="1:15" x14ac:dyDescent="0.2">
      <c r="A960" s="46">
        <f t="shared" si="27"/>
        <v>1</v>
      </c>
      <c r="B960" s="27">
        <v>1</v>
      </c>
      <c r="E960" s="25" t="s">
        <v>794</v>
      </c>
      <c r="F960" s="22" t="s">
        <v>33</v>
      </c>
      <c r="G960" s="29" t="s">
        <v>1218</v>
      </c>
      <c r="H960" s="30" t="s">
        <v>795</v>
      </c>
      <c r="I960" s="84" t="s">
        <v>920</v>
      </c>
      <c r="J960" s="30" t="s">
        <v>923</v>
      </c>
      <c r="K960" s="43" t="s">
        <v>22</v>
      </c>
      <c r="L960" s="31">
        <v>117605</v>
      </c>
      <c r="O960" s="1" t="s">
        <v>907</v>
      </c>
    </row>
    <row r="961" spans="1:15" x14ac:dyDescent="0.2">
      <c r="A961" s="46">
        <f t="shared" si="27"/>
        <v>3</v>
      </c>
      <c r="B961" s="27">
        <v>1</v>
      </c>
      <c r="C961" s="27">
        <v>2</v>
      </c>
      <c r="E961" s="25" t="s">
        <v>797</v>
      </c>
      <c r="F961" s="22" t="s">
        <v>42</v>
      </c>
      <c r="G961" s="29" t="s">
        <v>13</v>
      </c>
      <c r="H961" s="20" t="s">
        <v>798</v>
      </c>
      <c r="I961" s="85"/>
      <c r="J961" s="20"/>
      <c r="K961" s="37" t="s">
        <v>22</v>
      </c>
      <c r="L961" s="32">
        <v>506307</v>
      </c>
      <c r="N961" s="1" t="s">
        <v>888</v>
      </c>
      <c r="O961" s="1" t="s">
        <v>907</v>
      </c>
    </row>
    <row r="962" spans="1:15" x14ac:dyDescent="0.2">
      <c r="A962" s="46">
        <f t="shared" si="27"/>
        <v>1</v>
      </c>
      <c r="B962" s="27">
        <v>1</v>
      </c>
      <c r="E962" s="25" t="s">
        <v>797</v>
      </c>
      <c r="F962" s="22" t="s">
        <v>115</v>
      </c>
      <c r="G962" s="29" t="s">
        <v>13</v>
      </c>
      <c r="H962" s="20" t="s">
        <v>13</v>
      </c>
      <c r="I962" s="85"/>
      <c r="J962" s="20"/>
      <c r="K962" s="37" t="s">
        <v>13</v>
      </c>
      <c r="L962" s="32" t="s">
        <v>13</v>
      </c>
      <c r="N962" s="1" t="s">
        <v>888</v>
      </c>
      <c r="O962" s="1" t="s">
        <v>907</v>
      </c>
    </row>
    <row r="963" spans="1:15" x14ac:dyDescent="0.2">
      <c r="A963" s="46">
        <v>1</v>
      </c>
      <c r="B963" s="27">
        <v>1</v>
      </c>
      <c r="E963" s="25" t="s">
        <v>797</v>
      </c>
      <c r="F963" s="22" t="s">
        <v>30</v>
      </c>
      <c r="G963" s="29"/>
      <c r="H963" s="20" t="s">
        <v>798</v>
      </c>
      <c r="I963" s="85" t="s">
        <v>920</v>
      </c>
      <c r="J963" s="20" t="s">
        <v>929</v>
      </c>
      <c r="K963" s="37" t="s">
        <v>22</v>
      </c>
      <c r="L963" s="32">
        <v>506304</v>
      </c>
      <c r="O963" s="1"/>
    </row>
    <row r="964" spans="1:15" x14ac:dyDescent="0.2">
      <c r="A964" s="46">
        <f t="shared" ref="A964:A995" si="28">B964+C964</f>
        <v>1</v>
      </c>
      <c r="B964" s="27">
        <v>1</v>
      </c>
      <c r="E964" s="25" t="s">
        <v>797</v>
      </c>
      <c r="F964" s="22" t="s">
        <v>33</v>
      </c>
      <c r="G964" s="29" t="s">
        <v>13</v>
      </c>
      <c r="H964" s="20" t="s">
        <v>13</v>
      </c>
      <c r="I964" s="85"/>
      <c r="J964" s="20"/>
      <c r="K964" s="37" t="s">
        <v>48</v>
      </c>
      <c r="L964" s="32" t="s">
        <v>799</v>
      </c>
      <c r="N964" s="1" t="s">
        <v>888</v>
      </c>
      <c r="O964" s="1" t="s">
        <v>907</v>
      </c>
    </row>
    <row r="965" spans="1:15" x14ac:dyDescent="0.2">
      <c r="A965" s="46">
        <f t="shared" si="28"/>
        <v>1</v>
      </c>
      <c r="B965" s="27">
        <v>1</v>
      </c>
      <c r="E965" s="25" t="s">
        <v>800</v>
      </c>
      <c r="F965" s="22"/>
      <c r="G965" s="29" t="s">
        <v>801</v>
      </c>
      <c r="H965" s="20"/>
      <c r="I965" s="85"/>
      <c r="J965" s="20"/>
      <c r="K965" s="37" t="s">
        <v>802</v>
      </c>
      <c r="L965" s="32"/>
      <c r="O965" s="1" t="s">
        <v>907</v>
      </c>
    </row>
    <row r="966" spans="1:15" x14ac:dyDescent="0.2">
      <c r="A966" s="46">
        <f t="shared" si="28"/>
        <v>1</v>
      </c>
      <c r="B966" s="27">
        <v>1</v>
      </c>
      <c r="E966" s="25" t="s">
        <v>942</v>
      </c>
      <c r="F966" s="22"/>
      <c r="G966" s="29" t="s">
        <v>943</v>
      </c>
      <c r="H966" s="20"/>
      <c r="I966" s="85"/>
      <c r="J966" s="20"/>
      <c r="K966" s="37" t="s">
        <v>22</v>
      </c>
      <c r="L966" s="32">
        <v>426102</v>
      </c>
      <c r="O966" s="1" t="s">
        <v>907</v>
      </c>
    </row>
    <row r="967" spans="1:15" x14ac:dyDescent="0.2">
      <c r="A967" s="46">
        <f t="shared" si="28"/>
        <v>1</v>
      </c>
      <c r="B967" s="27">
        <v>1</v>
      </c>
      <c r="E967" s="25" t="s">
        <v>803</v>
      </c>
      <c r="F967" s="22" t="s">
        <v>16</v>
      </c>
      <c r="G967" s="29" t="s">
        <v>804</v>
      </c>
      <c r="H967" s="30" t="s">
        <v>805</v>
      </c>
      <c r="I967" s="84"/>
      <c r="J967" s="30"/>
      <c r="K967" s="37" t="s">
        <v>17</v>
      </c>
      <c r="L967" s="31"/>
      <c r="O967" s="1" t="s">
        <v>907</v>
      </c>
    </row>
    <row r="968" spans="1:15" x14ac:dyDescent="0.2">
      <c r="A968" s="46">
        <f t="shared" si="28"/>
        <v>1</v>
      </c>
      <c r="B968" s="27">
        <v>1</v>
      </c>
      <c r="E968" s="25" t="s">
        <v>803</v>
      </c>
      <c r="F968" s="22" t="s">
        <v>164</v>
      </c>
      <c r="G968" s="29"/>
      <c r="H968" s="30" t="s">
        <v>806</v>
      </c>
      <c r="I968" s="84"/>
      <c r="J968" s="30"/>
      <c r="K968" s="37" t="s">
        <v>17</v>
      </c>
      <c r="L968" s="31"/>
      <c r="O968" s="1" t="s">
        <v>907</v>
      </c>
    </row>
    <row r="969" spans="1:15" x14ac:dyDescent="0.2">
      <c r="A969" s="46">
        <f t="shared" si="28"/>
        <v>1</v>
      </c>
      <c r="B969" s="27">
        <v>1</v>
      </c>
      <c r="E969" s="25" t="s">
        <v>807</v>
      </c>
      <c r="F969" s="22" t="s">
        <v>16</v>
      </c>
      <c r="G969" s="29" t="s">
        <v>808</v>
      </c>
      <c r="H969" s="30" t="s">
        <v>809</v>
      </c>
      <c r="I969" s="84"/>
      <c r="J969" s="30"/>
      <c r="K969" s="37" t="s">
        <v>247</v>
      </c>
      <c r="L969" s="31">
        <v>553287</v>
      </c>
      <c r="O969" s="1" t="s">
        <v>907</v>
      </c>
    </row>
    <row r="970" spans="1:15" x14ac:dyDescent="0.2">
      <c r="A970" s="46">
        <f t="shared" si="28"/>
        <v>1</v>
      </c>
      <c r="B970" s="27">
        <v>1</v>
      </c>
      <c r="E970" s="25" t="s">
        <v>807</v>
      </c>
      <c r="F970" s="22" t="s">
        <v>33</v>
      </c>
      <c r="G970" s="29" t="s">
        <v>808</v>
      </c>
      <c r="H970" s="30"/>
      <c r="I970" s="84"/>
      <c r="J970" s="30"/>
      <c r="K970" s="37" t="s">
        <v>31</v>
      </c>
      <c r="L970" s="31">
        <v>553289</v>
      </c>
      <c r="O970" s="1" t="s">
        <v>907</v>
      </c>
    </row>
    <row r="971" spans="1:15" x14ac:dyDescent="0.2">
      <c r="A971" s="46">
        <f t="shared" si="28"/>
        <v>1</v>
      </c>
      <c r="B971" s="27">
        <v>1</v>
      </c>
      <c r="E971" s="25" t="s">
        <v>810</v>
      </c>
      <c r="F971" s="22" t="s">
        <v>33</v>
      </c>
      <c r="G971" s="29" t="s">
        <v>811</v>
      </c>
      <c r="H971" s="30"/>
      <c r="I971" s="84"/>
      <c r="J971" s="30"/>
      <c r="K971" s="37" t="s">
        <v>203</v>
      </c>
      <c r="L971" s="31">
        <v>553223</v>
      </c>
      <c r="O971" s="1" t="s">
        <v>907</v>
      </c>
    </row>
    <row r="972" spans="1:15" x14ac:dyDescent="0.2">
      <c r="A972" s="46">
        <f t="shared" si="28"/>
        <v>1</v>
      </c>
      <c r="B972" s="27">
        <v>1</v>
      </c>
      <c r="E972" s="25" t="s">
        <v>812</v>
      </c>
      <c r="F972" s="22" t="s">
        <v>33</v>
      </c>
      <c r="G972" s="29" t="s">
        <v>813</v>
      </c>
      <c r="H972" s="30"/>
      <c r="I972" s="84"/>
      <c r="J972" s="30"/>
      <c r="K972" s="37" t="s">
        <v>247</v>
      </c>
      <c r="L972" s="31">
        <v>553377</v>
      </c>
      <c r="O972" s="1" t="s">
        <v>907</v>
      </c>
    </row>
    <row r="973" spans="1:15" x14ac:dyDescent="0.2">
      <c r="A973" s="46">
        <f t="shared" si="28"/>
        <v>1</v>
      </c>
      <c r="B973" s="27">
        <v>1</v>
      </c>
      <c r="E973" s="25" t="s">
        <v>814</v>
      </c>
      <c r="F973" s="22" t="s">
        <v>85</v>
      </c>
      <c r="G973" s="29"/>
      <c r="H973" s="30" t="s">
        <v>815</v>
      </c>
      <c r="I973" s="84"/>
      <c r="J973" s="30"/>
      <c r="K973" s="37" t="s">
        <v>39</v>
      </c>
      <c r="L973" s="31">
        <v>742819</v>
      </c>
      <c r="O973" s="1" t="s">
        <v>907</v>
      </c>
    </row>
    <row r="974" spans="1:15" x14ac:dyDescent="0.2">
      <c r="A974" s="46">
        <f t="shared" si="28"/>
        <v>1</v>
      </c>
      <c r="B974" s="27">
        <v>1</v>
      </c>
      <c r="E974" s="25" t="s">
        <v>816</v>
      </c>
      <c r="F974" s="22" t="s">
        <v>30</v>
      </c>
      <c r="G974" s="29" t="s">
        <v>817</v>
      </c>
      <c r="H974" s="30" t="s">
        <v>818</v>
      </c>
      <c r="I974" s="84"/>
      <c r="J974" s="30"/>
      <c r="K974" s="37" t="s">
        <v>31</v>
      </c>
      <c r="L974" s="31">
        <v>553197</v>
      </c>
      <c r="O974" s="1" t="s">
        <v>907</v>
      </c>
    </row>
    <row r="975" spans="1:15" x14ac:dyDescent="0.2">
      <c r="A975" s="46">
        <f t="shared" si="28"/>
        <v>1</v>
      </c>
      <c r="B975" s="27">
        <v>1</v>
      </c>
      <c r="E975" s="25" t="s">
        <v>816</v>
      </c>
      <c r="F975" s="22" t="s">
        <v>30</v>
      </c>
      <c r="G975" s="29" t="s">
        <v>817</v>
      </c>
      <c r="H975" s="30" t="s">
        <v>818</v>
      </c>
      <c r="I975" s="84"/>
      <c r="J975" s="30"/>
      <c r="K975" s="37" t="s">
        <v>31</v>
      </c>
      <c r="L975" s="31" t="s">
        <v>819</v>
      </c>
      <c r="O975" s="1" t="s">
        <v>907</v>
      </c>
    </row>
    <row r="976" spans="1:15" x14ac:dyDescent="0.2">
      <c r="A976" s="46">
        <f t="shared" si="28"/>
        <v>1</v>
      </c>
      <c r="B976" s="27">
        <v>1</v>
      </c>
      <c r="E976" s="25" t="s">
        <v>820</v>
      </c>
      <c r="F976" s="22" t="s">
        <v>85</v>
      </c>
      <c r="G976" s="29"/>
      <c r="H976" s="30" t="s">
        <v>821</v>
      </c>
      <c r="I976" s="84"/>
      <c r="J976" s="30"/>
      <c r="K976" s="37" t="s">
        <v>39</v>
      </c>
      <c r="L976" s="31">
        <v>744775</v>
      </c>
      <c r="O976" s="1" t="s">
        <v>907</v>
      </c>
    </row>
    <row r="977" spans="1:15" x14ac:dyDescent="0.2">
      <c r="A977" s="46">
        <f t="shared" si="28"/>
        <v>1</v>
      </c>
      <c r="B977" s="27">
        <v>1</v>
      </c>
      <c r="E977" s="25" t="s">
        <v>822</v>
      </c>
      <c r="F977" s="22" t="s">
        <v>823</v>
      </c>
      <c r="G977" s="29"/>
      <c r="H977" s="30" t="s">
        <v>824</v>
      </c>
      <c r="I977" s="84"/>
      <c r="J977" s="30"/>
      <c r="K977" s="37" t="s">
        <v>39</v>
      </c>
      <c r="L977" s="31">
        <v>561542</v>
      </c>
      <c r="O977" s="1" t="s">
        <v>907</v>
      </c>
    </row>
    <row r="978" spans="1:15" x14ac:dyDescent="0.2">
      <c r="A978" s="46">
        <f t="shared" si="28"/>
        <v>1</v>
      </c>
      <c r="B978" s="27">
        <v>1</v>
      </c>
      <c r="E978" s="25" t="s">
        <v>825</v>
      </c>
      <c r="F978" s="22" t="s">
        <v>24</v>
      </c>
      <c r="G978" s="29" t="s">
        <v>826</v>
      </c>
      <c r="H978" s="30"/>
      <c r="I978" s="84"/>
      <c r="J978" s="30"/>
      <c r="K978" s="37" t="s">
        <v>17</v>
      </c>
      <c r="L978" s="31"/>
      <c r="O978" s="1" t="s">
        <v>907</v>
      </c>
    </row>
    <row r="979" spans="1:15" x14ac:dyDescent="0.2">
      <c r="A979" s="46">
        <f t="shared" si="28"/>
        <v>1</v>
      </c>
      <c r="B979" s="27">
        <v>1</v>
      </c>
      <c r="E979" s="25" t="s">
        <v>827</v>
      </c>
      <c r="F979" s="22" t="s">
        <v>33</v>
      </c>
      <c r="G979" s="29"/>
      <c r="H979" s="30"/>
      <c r="I979" s="84"/>
      <c r="J979" s="30"/>
      <c r="K979" s="37" t="s">
        <v>39</v>
      </c>
      <c r="L979" s="31">
        <v>553209</v>
      </c>
      <c r="O979" s="1" t="s">
        <v>907</v>
      </c>
    </row>
    <row r="980" spans="1:15" x14ac:dyDescent="0.2">
      <c r="A980" s="46">
        <f t="shared" si="28"/>
        <v>1</v>
      </c>
      <c r="B980" s="27">
        <v>1</v>
      </c>
      <c r="E980" s="25" t="s">
        <v>828</v>
      </c>
      <c r="F980" s="22" t="s">
        <v>24</v>
      </c>
      <c r="G980" s="29" t="s">
        <v>829</v>
      </c>
      <c r="H980" s="30"/>
      <c r="I980" s="84"/>
      <c r="J980" s="30"/>
      <c r="K980" s="37" t="s">
        <v>17</v>
      </c>
      <c r="L980" s="31"/>
      <c r="O980" s="1" t="s">
        <v>907</v>
      </c>
    </row>
    <row r="981" spans="1:15" x14ac:dyDescent="0.2">
      <c r="A981" s="46">
        <f t="shared" si="28"/>
        <v>1</v>
      </c>
      <c r="B981" s="27">
        <v>1</v>
      </c>
      <c r="E981" s="25" t="s">
        <v>828</v>
      </c>
      <c r="F981" s="22" t="s">
        <v>12</v>
      </c>
      <c r="G981" s="29" t="s">
        <v>829</v>
      </c>
      <c r="H981" s="30"/>
      <c r="I981" s="84"/>
      <c r="J981" s="30"/>
      <c r="K981" s="37" t="s">
        <v>17</v>
      </c>
      <c r="L981" s="31"/>
      <c r="O981" s="1" t="s">
        <v>907</v>
      </c>
    </row>
    <row r="982" spans="1:15" x14ac:dyDescent="0.2">
      <c r="A982" s="46">
        <f t="shared" si="28"/>
        <v>1</v>
      </c>
      <c r="B982" s="27">
        <v>1</v>
      </c>
      <c r="E982" s="25" t="s">
        <v>830</v>
      </c>
      <c r="F982" s="22" t="s">
        <v>24</v>
      </c>
      <c r="G982" s="29" t="s">
        <v>831</v>
      </c>
      <c r="H982" s="30"/>
      <c r="I982" s="84"/>
      <c r="J982" s="30"/>
      <c r="K982" s="37" t="s">
        <v>17</v>
      </c>
      <c r="L982" s="31"/>
      <c r="O982" s="1" t="s">
        <v>907</v>
      </c>
    </row>
    <row r="983" spans="1:15" x14ac:dyDescent="0.2">
      <c r="A983" s="46">
        <f t="shared" si="28"/>
        <v>1</v>
      </c>
      <c r="B983" s="27">
        <v>1</v>
      </c>
      <c r="E983" s="25" t="s">
        <v>830</v>
      </c>
      <c r="F983" s="22" t="s">
        <v>552</v>
      </c>
      <c r="G983" s="29" t="s">
        <v>831</v>
      </c>
      <c r="H983" s="30"/>
      <c r="I983" s="84"/>
      <c r="J983" s="30"/>
      <c r="K983" s="37" t="s">
        <v>832</v>
      </c>
      <c r="L983" s="31"/>
      <c r="O983" s="1" t="s">
        <v>907</v>
      </c>
    </row>
    <row r="984" spans="1:15" x14ac:dyDescent="0.2">
      <c r="A984" s="46">
        <f t="shared" si="28"/>
        <v>1</v>
      </c>
      <c r="B984" s="27">
        <v>1</v>
      </c>
      <c r="E984" s="25" t="s">
        <v>833</v>
      </c>
      <c r="F984" s="22" t="s">
        <v>27</v>
      </c>
      <c r="G984" s="29" t="s">
        <v>831</v>
      </c>
      <c r="H984" s="30" t="s">
        <v>834</v>
      </c>
      <c r="I984" s="84"/>
      <c r="J984" s="30"/>
      <c r="K984" s="37" t="s">
        <v>17</v>
      </c>
      <c r="L984" s="31"/>
      <c r="O984" s="1" t="s">
        <v>907</v>
      </c>
    </row>
    <row r="985" spans="1:15" x14ac:dyDescent="0.2">
      <c r="A985" s="46">
        <f t="shared" si="28"/>
        <v>1</v>
      </c>
      <c r="B985" s="27">
        <v>1</v>
      </c>
      <c r="E985" s="25" t="s">
        <v>835</v>
      </c>
      <c r="F985" s="22" t="s">
        <v>24</v>
      </c>
      <c r="G985" s="29" t="s">
        <v>836</v>
      </c>
      <c r="H985" s="30"/>
      <c r="I985" s="84"/>
      <c r="J985" s="30"/>
      <c r="K985" s="37" t="s">
        <v>17</v>
      </c>
      <c r="L985" s="31"/>
      <c r="O985" s="1" t="s">
        <v>907</v>
      </c>
    </row>
    <row r="986" spans="1:15" x14ac:dyDescent="0.2">
      <c r="A986" s="46">
        <f t="shared" si="28"/>
        <v>1</v>
      </c>
      <c r="B986" s="27">
        <v>1</v>
      </c>
      <c r="E986" s="25" t="s">
        <v>835</v>
      </c>
      <c r="F986" s="22" t="s">
        <v>26</v>
      </c>
      <c r="G986" s="29"/>
      <c r="H986" s="30"/>
      <c r="I986" s="84"/>
      <c r="J986" s="30"/>
      <c r="K986" s="37" t="s">
        <v>17</v>
      </c>
      <c r="L986" s="31"/>
      <c r="O986" s="1" t="s">
        <v>907</v>
      </c>
    </row>
    <row r="987" spans="1:15" x14ac:dyDescent="0.2">
      <c r="A987" s="46">
        <f t="shared" si="28"/>
        <v>1</v>
      </c>
      <c r="B987" s="27">
        <v>1</v>
      </c>
      <c r="E987" s="25" t="s">
        <v>835</v>
      </c>
      <c r="F987" s="22" t="s">
        <v>12</v>
      </c>
      <c r="G987" s="29" t="s">
        <v>836</v>
      </c>
      <c r="H987" s="30"/>
      <c r="I987" s="84"/>
      <c r="J987" s="30"/>
      <c r="K987" s="37" t="s">
        <v>17</v>
      </c>
      <c r="L987" s="31"/>
      <c r="O987" s="1" t="s">
        <v>907</v>
      </c>
    </row>
    <row r="988" spans="1:15" x14ac:dyDescent="0.2">
      <c r="A988" s="46">
        <f t="shared" si="28"/>
        <v>1</v>
      </c>
      <c r="B988" s="27">
        <v>1</v>
      </c>
      <c r="E988" s="25" t="s">
        <v>837</v>
      </c>
      <c r="F988" s="22" t="s">
        <v>24</v>
      </c>
      <c r="G988" s="29" t="s">
        <v>838</v>
      </c>
      <c r="H988" s="30"/>
      <c r="I988" s="84"/>
      <c r="J988" s="30"/>
      <c r="K988" s="37" t="s">
        <v>17</v>
      </c>
      <c r="L988" s="31"/>
      <c r="O988" s="1" t="s">
        <v>907</v>
      </c>
    </row>
    <row r="989" spans="1:15" x14ac:dyDescent="0.2">
      <c r="A989" s="46">
        <f t="shared" si="28"/>
        <v>1</v>
      </c>
      <c r="B989" s="27">
        <v>1</v>
      </c>
      <c r="E989" s="25" t="s">
        <v>837</v>
      </c>
      <c r="F989" s="22" t="s">
        <v>96</v>
      </c>
      <c r="G989" s="29" t="s">
        <v>838</v>
      </c>
      <c r="H989" s="30"/>
      <c r="I989" s="84"/>
      <c r="J989" s="30"/>
      <c r="K989" s="37" t="s">
        <v>17</v>
      </c>
      <c r="L989" s="31"/>
      <c r="O989" s="1" t="s">
        <v>907</v>
      </c>
    </row>
    <row r="990" spans="1:15" x14ac:dyDescent="0.2">
      <c r="A990" s="46">
        <f t="shared" si="28"/>
        <v>1</v>
      </c>
      <c r="B990" s="27">
        <v>1</v>
      </c>
      <c r="E990" s="25" t="s">
        <v>839</v>
      </c>
      <c r="F990" s="22" t="s">
        <v>33</v>
      </c>
      <c r="G990" s="29"/>
      <c r="H990" s="30"/>
      <c r="I990" s="84"/>
      <c r="J990" s="30"/>
      <c r="K990" s="37" t="s">
        <v>247</v>
      </c>
      <c r="L990" s="31" t="s">
        <v>840</v>
      </c>
      <c r="O990" s="1" t="s">
        <v>907</v>
      </c>
    </row>
    <row r="991" spans="1:15" x14ac:dyDescent="0.2">
      <c r="A991" s="46">
        <f t="shared" si="28"/>
        <v>1</v>
      </c>
      <c r="B991" s="27">
        <v>1</v>
      </c>
      <c r="E991" s="25" t="s">
        <v>839</v>
      </c>
      <c r="F991" s="22" t="s">
        <v>33</v>
      </c>
      <c r="G991" s="29"/>
      <c r="H991" s="30" t="s">
        <v>841</v>
      </c>
      <c r="I991" s="84"/>
      <c r="J991" s="30"/>
      <c r="K991" s="37" t="s">
        <v>39</v>
      </c>
      <c r="L991" s="31">
        <v>553664</v>
      </c>
      <c r="O991" s="1" t="s">
        <v>907</v>
      </c>
    </row>
    <row r="992" spans="1:15" x14ac:dyDescent="0.2">
      <c r="A992" s="46">
        <f t="shared" si="28"/>
        <v>1</v>
      </c>
      <c r="B992" s="27">
        <v>1</v>
      </c>
      <c r="E992" s="25" t="s">
        <v>842</v>
      </c>
      <c r="F992" s="22" t="s">
        <v>24</v>
      </c>
      <c r="G992" s="29" t="s">
        <v>843</v>
      </c>
      <c r="H992" s="30"/>
      <c r="I992" s="84"/>
      <c r="J992" s="30"/>
      <c r="K992" s="37" t="s">
        <v>17</v>
      </c>
      <c r="L992" s="31"/>
      <c r="O992" s="1" t="s">
        <v>907</v>
      </c>
    </row>
    <row r="993" spans="1:15" x14ac:dyDescent="0.2">
      <c r="A993" s="46">
        <f t="shared" si="28"/>
        <v>1</v>
      </c>
      <c r="B993" s="27">
        <v>1</v>
      </c>
      <c r="E993" s="25" t="s">
        <v>842</v>
      </c>
      <c r="F993" s="22" t="s">
        <v>26</v>
      </c>
      <c r="G993" s="29" t="s">
        <v>843</v>
      </c>
      <c r="H993" s="30"/>
      <c r="I993" s="84"/>
      <c r="J993" s="30"/>
      <c r="K993" s="37" t="s">
        <v>17</v>
      </c>
      <c r="L993" s="31"/>
      <c r="O993" s="1" t="s">
        <v>907</v>
      </c>
    </row>
    <row r="994" spans="1:15" x14ac:dyDescent="0.2">
      <c r="A994" s="46">
        <f t="shared" si="28"/>
        <v>1</v>
      </c>
      <c r="B994" s="27">
        <v>1</v>
      </c>
      <c r="E994" s="25" t="s">
        <v>844</v>
      </c>
      <c r="F994" s="22" t="s">
        <v>24</v>
      </c>
      <c r="G994" s="29" t="s">
        <v>845</v>
      </c>
      <c r="H994" s="30"/>
      <c r="I994" s="84"/>
      <c r="J994" s="30"/>
      <c r="K994" s="37" t="s">
        <v>17</v>
      </c>
      <c r="L994" s="31"/>
      <c r="O994" s="1" t="s">
        <v>907</v>
      </c>
    </row>
    <row r="995" spans="1:15" x14ac:dyDescent="0.2">
      <c r="A995" s="46">
        <f t="shared" si="28"/>
        <v>1</v>
      </c>
      <c r="B995" s="27">
        <v>1</v>
      </c>
      <c r="E995" s="25" t="s">
        <v>844</v>
      </c>
      <c r="F995" s="22" t="s">
        <v>96</v>
      </c>
      <c r="G995" s="29" t="s">
        <v>845</v>
      </c>
      <c r="H995" s="30"/>
      <c r="I995" s="84"/>
      <c r="J995" s="30"/>
      <c r="K995" s="37" t="s">
        <v>17</v>
      </c>
      <c r="L995" s="31"/>
      <c r="O995" s="1" t="s">
        <v>907</v>
      </c>
    </row>
    <row r="996" spans="1:15" x14ac:dyDescent="0.2">
      <c r="A996" s="46">
        <f t="shared" ref="A996:A1019" si="29">B996+C996</f>
        <v>1</v>
      </c>
      <c r="B996" s="27">
        <v>1</v>
      </c>
      <c r="E996" s="25" t="s">
        <v>846</v>
      </c>
      <c r="F996" s="22" t="s">
        <v>24</v>
      </c>
      <c r="G996" s="120" t="s">
        <v>1239</v>
      </c>
      <c r="H996" s="30" t="s">
        <v>847</v>
      </c>
      <c r="I996" s="84"/>
      <c r="J996" s="30"/>
      <c r="K996" s="37" t="s">
        <v>17</v>
      </c>
      <c r="L996" s="31"/>
      <c r="O996" s="1" t="s">
        <v>907</v>
      </c>
    </row>
    <row r="997" spans="1:15" x14ac:dyDescent="0.2">
      <c r="A997" s="46">
        <f t="shared" si="29"/>
        <v>2</v>
      </c>
      <c r="B997" s="27">
        <v>1</v>
      </c>
      <c r="C997" s="27">
        <v>1</v>
      </c>
      <c r="E997" s="25" t="s">
        <v>846</v>
      </c>
      <c r="F997" s="22" t="s">
        <v>33</v>
      </c>
      <c r="G997" s="120" t="s">
        <v>1239</v>
      </c>
      <c r="H997" s="30" t="s">
        <v>847</v>
      </c>
      <c r="I997" s="84"/>
      <c r="J997" s="30"/>
      <c r="K997" s="37" t="s">
        <v>22</v>
      </c>
      <c r="L997" s="31">
        <v>142704</v>
      </c>
      <c r="O997" s="1" t="s">
        <v>907</v>
      </c>
    </row>
    <row r="998" spans="1:15" x14ac:dyDescent="0.2">
      <c r="A998" s="46">
        <f t="shared" si="29"/>
        <v>1</v>
      </c>
      <c r="B998" s="27">
        <v>1</v>
      </c>
      <c r="E998" s="25" t="s">
        <v>848</v>
      </c>
      <c r="F998" s="22" t="s">
        <v>24</v>
      </c>
      <c r="G998" s="121" t="s">
        <v>1240</v>
      </c>
      <c r="H998" s="30">
        <v>2.11</v>
      </c>
      <c r="I998" s="84"/>
      <c r="J998" s="30"/>
      <c r="K998" s="37" t="s">
        <v>17</v>
      </c>
      <c r="L998" s="31"/>
      <c r="O998" s="1" t="s">
        <v>907</v>
      </c>
    </row>
    <row r="999" spans="1:15" x14ac:dyDescent="0.2">
      <c r="A999" s="46">
        <f t="shared" si="29"/>
        <v>1</v>
      </c>
      <c r="B999" s="27">
        <v>1</v>
      </c>
      <c r="D999" s="27">
        <v>1</v>
      </c>
      <c r="E999" s="25" t="s">
        <v>848</v>
      </c>
      <c r="F999" s="22" t="s">
        <v>16</v>
      </c>
      <c r="G999" s="121" t="s">
        <v>1240</v>
      </c>
      <c r="H999" s="30">
        <v>2.11</v>
      </c>
      <c r="I999" s="84"/>
      <c r="J999" s="30"/>
      <c r="K999" s="37" t="s">
        <v>17</v>
      </c>
      <c r="L999" s="31"/>
      <c r="O999" s="1" t="s">
        <v>907</v>
      </c>
    </row>
    <row r="1000" spans="1:15" x14ac:dyDescent="0.2">
      <c r="A1000" s="46">
        <f t="shared" si="29"/>
        <v>2</v>
      </c>
      <c r="B1000" s="27">
        <v>1</v>
      </c>
      <c r="C1000" s="27">
        <v>1</v>
      </c>
      <c r="E1000" s="25" t="s">
        <v>848</v>
      </c>
      <c r="F1000" s="22" t="s">
        <v>849</v>
      </c>
      <c r="G1000" s="121" t="s">
        <v>1240</v>
      </c>
      <c r="H1000" s="30">
        <v>2.11</v>
      </c>
      <c r="I1000" s="84"/>
      <c r="J1000" s="30"/>
      <c r="K1000" s="37" t="s">
        <v>39</v>
      </c>
      <c r="L1000" s="31">
        <v>744612</v>
      </c>
      <c r="O1000" s="1" t="s">
        <v>907</v>
      </c>
    </row>
    <row r="1001" spans="1:15" x14ac:dyDescent="0.2">
      <c r="A1001" s="46">
        <f t="shared" si="29"/>
        <v>1</v>
      </c>
      <c r="B1001" s="27">
        <v>1</v>
      </c>
      <c r="E1001" s="25" t="s">
        <v>848</v>
      </c>
      <c r="F1001" s="22" t="s">
        <v>190</v>
      </c>
      <c r="G1001" s="121" t="s">
        <v>1240</v>
      </c>
      <c r="H1001" s="30">
        <v>2.11</v>
      </c>
      <c r="I1001" s="84"/>
      <c r="J1001" s="30"/>
      <c r="K1001" s="37" t="s">
        <v>22</v>
      </c>
      <c r="L1001" s="31">
        <v>141112</v>
      </c>
      <c r="O1001" s="1" t="s">
        <v>907</v>
      </c>
    </row>
    <row r="1002" spans="1:15" x14ac:dyDescent="0.2">
      <c r="A1002" s="46">
        <f t="shared" si="29"/>
        <v>2</v>
      </c>
      <c r="B1002" s="27">
        <v>1</v>
      </c>
      <c r="C1002" s="27">
        <v>1</v>
      </c>
      <c r="E1002" s="25" t="s">
        <v>850</v>
      </c>
      <c r="F1002" s="22" t="s">
        <v>24</v>
      </c>
      <c r="G1002" s="122" t="s">
        <v>1241</v>
      </c>
      <c r="H1002" s="30" t="s">
        <v>851</v>
      </c>
      <c r="I1002" s="84"/>
      <c r="J1002" s="30"/>
      <c r="K1002" s="37" t="s">
        <v>17</v>
      </c>
      <c r="L1002" s="31"/>
      <c r="O1002" s="1" t="s">
        <v>907</v>
      </c>
    </row>
    <row r="1003" spans="1:15" x14ac:dyDescent="0.2">
      <c r="A1003" s="46">
        <f t="shared" si="29"/>
        <v>1</v>
      </c>
      <c r="B1003" s="27">
        <v>1</v>
      </c>
      <c r="E1003" s="25" t="s">
        <v>850</v>
      </c>
      <c r="F1003" s="22" t="s">
        <v>16</v>
      </c>
      <c r="G1003" s="122" t="s">
        <v>1241</v>
      </c>
      <c r="H1003" s="30" t="s">
        <v>851</v>
      </c>
      <c r="I1003" s="84"/>
      <c r="J1003" s="30"/>
      <c r="K1003" s="37" t="s">
        <v>17</v>
      </c>
      <c r="L1003" s="31"/>
      <c r="O1003" s="1" t="s">
        <v>907</v>
      </c>
    </row>
    <row r="1004" spans="1:15" x14ac:dyDescent="0.2">
      <c r="A1004" s="46">
        <f t="shared" si="29"/>
        <v>1</v>
      </c>
      <c r="B1004" s="27">
        <v>1</v>
      </c>
      <c r="C1004" s="27">
        <v>0</v>
      </c>
      <c r="E1004" s="25" t="s">
        <v>850</v>
      </c>
      <c r="F1004" s="22" t="s">
        <v>876</v>
      </c>
      <c r="G1004" s="122" t="s">
        <v>1241</v>
      </c>
      <c r="H1004" s="30" t="s">
        <v>851</v>
      </c>
      <c r="I1004" s="84"/>
      <c r="J1004" s="30"/>
      <c r="K1004" s="37" t="s">
        <v>39</v>
      </c>
      <c r="L1004" s="31">
        <v>748997</v>
      </c>
      <c r="O1004" s="1" t="s">
        <v>907</v>
      </c>
    </row>
    <row r="1005" spans="1:15" x14ac:dyDescent="0.2">
      <c r="A1005" s="46">
        <f t="shared" si="29"/>
        <v>1</v>
      </c>
      <c r="B1005" s="27">
        <v>1</v>
      </c>
      <c r="E1005" s="25" t="s">
        <v>850</v>
      </c>
      <c r="F1005" s="22" t="s">
        <v>116</v>
      </c>
      <c r="G1005" s="122" t="s">
        <v>1241</v>
      </c>
      <c r="H1005" s="30" t="s">
        <v>851</v>
      </c>
      <c r="I1005" s="84"/>
      <c r="J1005" s="30"/>
      <c r="K1005" s="37" t="s">
        <v>39</v>
      </c>
      <c r="L1005" s="31">
        <v>742309</v>
      </c>
      <c r="O1005" s="1" t="s">
        <v>907</v>
      </c>
    </row>
    <row r="1006" spans="1:15" x14ac:dyDescent="0.2">
      <c r="A1006" s="46">
        <f t="shared" si="29"/>
        <v>1</v>
      </c>
      <c r="B1006" s="27">
        <v>1</v>
      </c>
      <c r="E1006" s="25" t="s">
        <v>852</v>
      </c>
      <c r="F1006" s="22" t="s">
        <v>24</v>
      </c>
      <c r="G1006" s="29"/>
      <c r="H1006" s="30" t="s">
        <v>853</v>
      </c>
      <c r="I1006" s="84"/>
      <c r="J1006" s="30"/>
      <c r="K1006" s="37" t="s">
        <v>17</v>
      </c>
      <c r="L1006" s="31"/>
      <c r="O1006" s="1" t="s">
        <v>907</v>
      </c>
    </row>
    <row r="1007" spans="1:15" x14ac:dyDescent="0.2">
      <c r="A1007" s="46">
        <f t="shared" si="29"/>
        <v>2</v>
      </c>
      <c r="B1007" s="27">
        <v>2</v>
      </c>
      <c r="E1007" s="25" t="s">
        <v>854</v>
      </c>
      <c r="F1007" s="22" t="s">
        <v>16</v>
      </c>
      <c r="G1007" s="29"/>
      <c r="H1007" s="30" t="s">
        <v>855</v>
      </c>
      <c r="I1007" s="84"/>
      <c r="J1007" s="30"/>
      <c r="K1007" s="37" t="s">
        <v>17</v>
      </c>
      <c r="L1007" s="31"/>
      <c r="O1007" s="1" t="s">
        <v>907</v>
      </c>
    </row>
    <row r="1008" spans="1:15" x14ac:dyDescent="0.2">
      <c r="A1008" s="46">
        <f t="shared" si="29"/>
        <v>1</v>
      </c>
      <c r="B1008" s="27">
        <v>1</v>
      </c>
      <c r="E1008" s="25" t="s">
        <v>856</v>
      </c>
      <c r="F1008" s="22" t="s">
        <v>16</v>
      </c>
      <c r="G1008" s="29"/>
      <c r="H1008" s="30" t="s">
        <v>853</v>
      </c>
      <c r="I1008" s="84"/>
      <c r="J1008" s="30"/>
      <c r="K1008" s="37" t="s">
        <v>17</v>
      </c>
      <c r="L1008" s="31"/>
      <c r="O1008" s="1" t="s">
        <v>907</v>
      </c>
    </row>
    <row r="1009" spans="1:15" x14ac:dyDescent="0.2">
      <c r="A1009" s="46">
        <f t="shared" si="29"/>
        <v>4</v>
      </c>
      <c r="B1009" s="27">
        <v>2</v>
      </c>
      <c r="C1009" s="27">
        <v>2</v>
      </c>
      <c r="E1009" s="25" t="s">
        <v>856</v>
      </c>
      <c r="F1009" s="22" t="s">
        <v>16</v>
      </c>
      <c r="G1009" s="29"/>
      <c r="H1009" s="30" t="s">
        <v>857</v>
      </c>
      <c r="I1009" s="84"/>
      <c r="J1009" s="30"/>
      <c r="K1009" s="37" t="s">
        <v>17</v>
      </c>
      <c r="L1009" s="31"/>
      <c r="M1009" t="s">
        <v>1244</v>
      </c>
      <c r="O1009" s="1" t="s">
        <v>907</v>
      </c>
    </row>
    <row r="1010" spans="1:15" x14ac:dyDescent="0.2">
      <c r="A1010" s="46">
        <f t="shared" si="29"/>
        <v>1</v>
      </c>
      <c r="B1010" s="27">
        <v>1</v>
      </c>
      <c r="E1010" s="25" t="s">
        <v>856</v>
      </c>
      <c r="F1010" s="22" t="s">
        <v>109</v>
      </c>
      <c r="G1010" s="29"/>
      <c r="H1010" s="30">
        <v>536</v>
      </c>
      <c r="I1010" s="84"/>
      <c r="J1010" s="30"/>
      <c r="K1010" s="37" t="s">
        <v>48</v>
      </c>
      <c r="L1010" s="31">
        <v>743241</v>
      </c>
      <c r="O1010" s="1" t="s">
        <v>907</v>
      </c>
    </row>
    <row r="1011" spans="1:15" x14ac:dyDescent="0.2">
      <c r="A1011" s="46">
        <f t="shared" si="29"/>
        <v>1</v>
      </c>
      <c r="B1011" s="27">
        <v>1</v>
      </c>
      <c r="E1011" s="25" t="s">
        <v>856</v>
      </c>
      <c r="F1011" s="22" t="s">
        <v>30</v>
      </c>
      <c r="G1011" s="29"/>
      <c r="H1011" s="30" t="s">
        <v>857</v>
      </c>
      <c r="I1011" s="84"/>
      <c r="J1011" s="30"/>
      <c r="K1011" s="37" t="s">
        <v>17</v>
      </c>
      <c r="L1011" s="31"/>
      <c r="M1011" t="s">
        <v>1245</v>
      </c>
      <c r="O1011" s="1" t="s">
        <v>907</v>
      </c>
    </row>
    <row r="1012" spans="1:15" x14ac:dyDescent="0.2">
      <c r="A1012" s="46">
        <f t="shared" si="29"/>
        <v>2</v>
      </c>
      <c r="B1012" s="27">
        <v>1</v>
      </c>
      <c r="C1012" s="27">
        <v>1</v>
      </c>
      <c r="E1012" s="25" t="s">
        <v>858</v>
      </c>
      <c r="F1012" s="22" t="s">
        <v>57</v>
      </c>
      <c r="G1012" s="29" t="s">
        <v>1243</v>
      </c>
      <c r="H1012" s="30"/>
      <c r="I1012" s="84"/>
      <c r="J1012" s="30"/>
      <c r="K1012" s="37" t="s">
        <v>17</v>
      </c>
      <c r="L1012" s="31"/>
      <c r="O1012" s="1" t="s">
        <v>907</v>
      </c>
    </row>
    <row r="1013" spans="1:15" x14ac:dyDescent="0.2">
      <c r="A1013" s="46">
        <v>1</v>
      </c>
      <c r="B1013" s="27">
        <v>1</v>
      </c>
      <c r="E1013" s="25" t="s">
        <v>858</v>
      </c>
      <c r="F1013" s="22" t="s">
        <v>33</v>
      </c>
      <c r="G1013" s="29" t="s">
        <v>1243</v>
      </c>
      <c r="H1013" s="30" t="s">
        <v>859</v>
      </c>
      <c r="I1013" s="84"/>
      <c r="J1013" s="30"/>
      <c r="K1013" s="37" t="s">
        <v>39</v>
      </c>
      <c r="L1013" s="31">
        <v>570217</v>
      </c>
      <c r="O1013" s="1"/>
    </row>
    <row r="1014" spans="1:15" x14ac:dyDescent="0.2">
      <c r="A1014" s="46">
        <f t="shared" si="29"/>
        <v>1</v>
      </c>
      <c r="B1014" s="27">
        <v>1</v>
      </c>
      <c r="E1014" s="25" t="s">
        <v>858</v>
      </c>
      <c r="F1014" s="22" t="s">
        <v>16</v>
      </c>
      <c r="G1014" s="29" t="s">
        <v>1243</v>
      </c>
      <c r="H1014" s="30" t="s">
        <v>859</v>
      </c>
      <c r="I1014" s="84"/>
      <c r="J1014" s="30"/>
      <c r="K1014" s="37" t="s">
        <v>860</v>
      </c>
      <c r="L1014" s="31"/>
      <c r="M1014" t="s">
        <v>1246</v>
      </c>
      <c r="O1014" s="1" t="s">
        <v>907</v>
      </c>
    </row>
    <row r="1015" spans="1:15" x14ac:dyDescent="0.2">
      <c r="A1015" s="46">
        <f t="shared" si="29"/>
        <v>1</v>
      </c>
      <c r="B1015" s="27">
        <v>1</v>
      </c>
      <c r="E1015" s="25" t="s">
        <v>858</v>
      </c>
      <c r="F1015" s="22" t="s">
        <v>16</v>
      </c>
      <c r="G1015" s="29" t="s">
        <v>1243</v>
      </c>
      <c r="H1015" s="30" t="s">
        <v>861</v>
      </c>
      <c r="I1015" s="84"/>
      <c r="J1015" s="30"/>
      <c r="K1015" s="37" t="s">
        <v>17</v>
      </c>
      <c r="L1015" s="31"/>
      <c r="O1015" s="1" t="s">
        <v>907</v>
      </c>
    </row>
    <row r="1016" spans="1:15" x14ac:dyDescent="0.2">
      <c r="A1016" s="46">
        <f t="shared" si="29"/>
        <v>1</v>
      </c>
      <c r="B1016" s="27">
        <v>1</v>
      </c>
      <c r="E1016" s="25" t="s">
        <v>862</v>
      </c>
      <c r="F1016" s="22" t="s">
        <v>16</v>
      </c>
      <c r="G1016" s="29"/>
      <c r="H1016" s="30" t="s">
        <v>863</v>
      </c>
      <c r="I1016" s="84"/>
      <c r="J1016" s="30"/>
      <c r="K1016" s="37" t="s">
        <v>17</v>
      </c>
      <c r="L1016" s="31"/>
      <c r="O1016" s="1" t="s">
        <v>907</v>
      </c>
    </row>
    <row r="1017" spans="1:15" x14ac:dyDescent="0.2">
      <c r="A1017" s="46">
        <f t="shared" si="29"/>
        <v>0</v>
      </c>
      <c r="E1017" s="25" t="s">
        <v>864</v>
      </c>
      <c r="F1017" s="22" t="s">
        <v>16</v>
      </c>
      <c r="G1017" s="123" t="s">
        <v>1242</v>
      </c>
      <c r="H1017" s="30" t="s">
        <v>865</v>
      </c>
      <c r="I1017" s="84"/>
      <c r="J1017" s="30"/>
      <c r="K1017" s="37" t="s">
        <v>17</v>
      </c>
      <c r="L1017" s="31"/>
      <c r="O1017" s="1" t="s">
        <v>907</v>
      </c>
    </row>
    <row r="1018" spans="1:15" x14ac:dyDescent="0.2">
      <c r="A1018" s="46">
        <v>1</v>
      </c>
      <c r="B1018" s="27">
        <v>1</v>
      </c>
      <c r="E1018" s="25" t="s">
        <v>864</v>
      </c>
      <c r="F1018" s="22" t="s">
        <v>873</v>
      </c>
      <c r="G1018" s="123" t="s">
        <v>1242</v>
      </c>
      <c r="H1018" s="30" t="s">
        <v>865</v>
      </c>
      <c r="I1018" s="84"/>
      <c r="J1018" s="30"/>
      <c r="K1018" s="37" t="s">
        <v>39</v>
      </c>
      <c r="L1018" s="31">
        <v>756097</v>
      </c>
      <c r="M1018" t="s">
        <v>1247</v>
      </c>
      <c r="O1018" s="1"/>
    </row>
    <row r="1019" spans="1:15" x14ac:dyDescent="0.2">
      <c r="A1019" s="46">
        <f t="shared" si="29"/>
        <v>3</v>
      </c>
      <c r="B1019" s="27">
        <v>1</v>
      </c>
      <c r="C1019" s="27">
        <v>2</v>
      </c>
      <c r="E1019" s="25" t="s">
        <v>866</v>
      </c>
      <c r="F1019" s="22" t="s">
        <v>469</v>
      </c>
      <c r="G1019" s="29" t="s">
        <v>13</v>
      </c>
      <c r="H1019" s="20" t="s">
        <v>867</v>
      </c>
      <c r="I1019" s="85" t="s">
        <v>1109</v>
      </c>
      <c r="J1019" s="20" t="s">
        <v>1110</v>
      </c>
      <c r="K1019" s="37" t="s">
        <v>22</v>
      </c>
      <c r="L1019" s="32">
        <v>148216</v>
      </c>
      <c r="N1019" s="1" t="s">
        <v>891</v>
      </c>
      <c r="O1019" s="1" t="s">
        <v>907</v>
      </c>
    </row>
    <row r="1020" spans="1:15" x14ac:dyDescent="0.2">
      <c r="A1020" s="46">
        <v>2</v>
      </c>
      <c r="B1020" s="27">
        <v>1</v>
      </c>
      <c r="C1020" s="27">
        <v>1</v>
      </c>
      <c r="E1020" s="25" t="s">
        <v>866</v>
      </c>
      <c r="F1020" s="22" t="s">
        <v>250</v>
      </c>
      <c r="G1020" s="29" t="s">
        <v>13</v>
      </c>
      <c r="H1020" s="20" t="s">
        <v>867</v>
      </c>
      <c r="I1020" s="85" t="s">
        <v>1109</v>
      </c>
      <c r="J1020" s="20" t="s">
        <v>1110</v>
      </c>
      <c r="K1020" s="37" t="s">
        <v>22</v>
      </c>
      <c r="L1020" s="32">
        <v>148220</v>
      </c>
      <c r="N1020" s="1" t="s">
        <v>888</v>
      </c>
      <c r="O1020" s="1" t="s">
        <v>907</v>
      </c>
    </row>
    <row r="1021" spans="1:15" x14ac:dyDescent="0.2">
      <c r="A1021" s="46">
        <f t="shared" ref="A1021:A1027" si="30">B1021+C1021</f>
        <v>2</v>
      </c>
      <c r="B1021" s="27">
        <v>1</v>
      </c>
      <c r="C1021" s="27">
        <v>1</v>
      </c>
      <c r="E1021" s="25" t="s">
        <v>866</v>
      </c>
      <c r="F1021" s="22" t="s">
        <v>33</v>
      </c>
      <c r="G1021" s="29" t="s">
        <v>13</v>
      </c>
      <c r="H1021" s="20" t="s">
        <v>867</v>
      </c>
      <c r="I1021" s="85" t="s">
        <v>1109</v>
      </c>
      <c r="J1021" s="20" t="s">
        <v>1110</v>
      </c>
      <c r="K1021" s="37" t="s">
        <v>22</v>
      </c>
      <c r="L1021" s="32">
        <v>148204</v>
      </c>
      <c r="N1021" s="1" t="s">
        <v>891</v>
      </c>
      <c r="O1021" s="1" t="s">
        <v>907</v>
      </c>
    </row>
    <row r="1022" spans="1:15" x14ac:dyDescent="0.2">
      <c r="A1022" s="46">
        <f t="shared" si="30"/>
        <v>3</v>
      </c>
      <c r="B1022" s="27">
        <v>1</v>
      </c>
      <c r="C1022" s="27">
        <v>2</v>
      </c>
      <c r="E1022" s="2" t="s">
        <v>1172</v>
      </c>
      <c r="F1022" s="75" t="s">
        <v>27</v>
      </c>
      <c r="G1022" s="5" t="s">
        <v>352</v>
      </c>
      <c r="K1022" s="39" t="s">
        <v>76</v>
      </c>
      <c r="N1022" s="1" t="s">
        <v>886</v>
      </c>
      <c r="O1022" s="1" t="s">
        <v>907</v>
      </c>
    </row>
    <row r="1023" spans="1:15" x14ac:dyDescent="0.2">
      <c r="A1023" s="46">
        <f t="shared" si="30"/>
        <v>1</v>
      </c>
      <c r="B1023" s="27">
        <v>1</v>
      </c>
      <c r="E1023" s="25" t="s">
        <v>868</v>
      </c>
      <c r="F1023" s="22" t="s">
        <v>24</v>
      </c>
      <c r="G1023" s="29"/>
      <c r="H1023" s="30" t="s">
        <v>511</v>
      </c>
      <c r="I1023" s="84"/>
      <c r="J1023" s="30"/>
      <c r="K1023" s="37" t="s">
        <v>17</v>
      </c>
      <c r="L1023" s="31"/>
      <c r="O1023" s="1" t="s">
        <v>907</v>
      </c>
    </row>
    <row r="1024" spans="1:15" x14ac:dyDescent="0.2">
      <c r="A1024" s="46">
        <f t="shared" si="30"/>
        <v>2</v>
      </c>
      <c r="B1024" s="27">
        <v>1</v>
      </c>
      <c r="C1024" s="27">
        <v>1</v>
      </c>
      <c r="E1024" s="25" t="s">
        <v>868</v>
      </c>
      <c r="F1024" s="22" t="s">
        <v>26</v>
      </c>
      <c r="G1024" s="29"/>
      <c r="H1024" s="30" t="s">
        <v>511</v>
      </c>
      <c r="I1024" s="84"/>
      <c r="J1024" s="30"/>
      <c r="K1024" s="37" t="s">
        <v>17</v>
      </c>
      <c r="L1024" s="31"/>
      <c r="O1024" s="1" t="s">
        <v>907</v>
      </c>
    </row>
    <row r="1025" spans="1:15" x14ac:dyDescent="0.2">
      <c r="A1025" s="46">
        <f t="shared" si="30"/>
        <v>1</v>
      </c>
      <c r="B1025" s="27">
        <v>1</v>
      </c>
      <c r="E1025" s="25" t="s">
        <v>1223</v>
      </c>
      <c r="F1025" s="22" t="s">
        <v>33</v>
      </c>
      <c r="G1025" s="29"/>
      <c r="H1025" s="30" t="s">
        <v>1224</v>
      </c>
      <c r="I1025" s="84" t="s">
        <v>920</v>
      </c>
      <c r="J1025" s="30"/>
      <c r="K1025" s="43" t="s">
        <v>203</v>
      </c>
      <c r="L1025" s="31">
        <v>565454</v>
      </c>
      <c r="O1025" s="1" t="s">
        <v>907</v>
      </c>
    </row>
    <row r="1026" spans="1:15" x14ac:dyDescent="0.2">
      <c r="A1026" s="46">
        <f t="shared" si="30"/>
        <v>1</v>
      </c>
      <c r="B1026" s="27">
        <v>1</v>
      </c>
      <c r="E1026" s="25" t="s">
        <v>960</v>
      </c>
      <c r="F1026" s="81"/>
      <c r="G1026" s="29"/>
      <c r="H1026" s="30"/>
      <c r="I1026" s="84"/>
      <c r="J1026" s="30"/>
      <c r="K1026" s="43" t="s">
        <v>22</v>
      </c>
      <c r="L1026" s="31">
        <v>423102</v>
      </c>
    </row>
    <row r="1027" spans="1:15" x14ac:dyDescent="0.2">
      <c r="A1027" s="46">
        <f t="shared" si="30"/>
        <v>1</v>
      </c>
      <c r="B1027" s="27">
        <v>1</v>
      </c>
      <c r="E1027" s="25" t="s">
        <v>959</v>
      </c>
      <c r="F1027" s="81"/>
      <c r="G1027" s="29"/>
      <c r="H1027" s="30"/>
      <c r="I1027" s="84"/>
      <c r="J1027" s="30"/>
      <c r="K1027" s="43" t="s">
        <v>22</v>
      </c>
      <c r="L1027" s="31">
        <v>423108</v>
      </c>
      <c r="O1027" s="1" t="s">
        <v>907</v>
      </c>
    </row>
  </sheetData>
  <autoFilter ref="A1:R1027" xr:uid="{5AA2F2A5-F718-4B90-9A47-8C368DE96209}">
    <sortState xmlns:xlrd2="http://schemas.microsoft.com/office/spreadsheetml/2017/richdata2" ref="A2:R1027">
      <sortCondition ref="E1:E1027"/>
    </sortState>
  </autoFilter>
  <sortState xmlns:xlrd2="http://schemas.microsoft.com/office/spreadsheetml/2017/richdata2" ref="E2:L1027">
    <sortCondition ref="E2:E1027"/>
  </sortState>
  <phoneticPr fontId="20" type="noConversion"/>
  <hyperlinks>
    <hyperlink ref="H211" r:id="rId1" xr:uid="{F5E5F492-EC07-8540-B722-93A5697868F5}"/>
  </hyperlink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4ACA665C3C34DB50F127CFCE10043" ma:contentTypeVersion="6" ma:contentTypeDescription="Create a new document." ma:contentTypeScope="" ma:versionID="233f46cf502bd83e13583627b8d70c1e">
  <xsd:schema xmlns:xsd="http://www.w3.org/2001/XMLSchema" xmlns:xs="http://www.w3.org/2001/XMLSchema" xmlns:p="http://schemas.microsoft.com/office/2006/metadata/properties" xmlns:ns2="33f53be4-2689-41dc-a34a-f9a0e85c96da" targetNamespace="http://schemas.microsoft.com/office/2006/metadata/properties" ma:root="true" ma:fieldsID="98f2fb85dc348b1d685728ca9fe34e8a" ns2:_="">
    <xsd:import namespace="33f53be4-2689-41dc-a34a-f9a0e85c96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53be4-2689-41dc-a34a-f9a0e85c9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E78384-768B-4978-968A-78CF75EEE6EF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33f53be4-2689-41dc-a34a-f9a0e85c96d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01C5CE9-42F3-4228-AF15-2FB7C653EC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f53be4-2689-41dc-a34a-f9a0e85c9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6555B7-300F-44E4-97E3-9588CC7BA4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Antibody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LabUser</dc:creator>
  <cp:keywords/>
  <dc:description/>
  <cp:lastModifiedBy>Wang, Harrison (NIH/NIDCR) [F]</cp:lastModifiedBy>
  <cp:revision/>
  <cp:lastPrinted>2022-10-31T13:37:12Z</cp:lastPrinted>
  <dcterms:created xsi:type="dcterms:W3CDTF">2015-02-05T07:12:35Z</dcterms:created>
  <dcterms:modified xsi:type="dcterms:W3CDTF">2024-10-06T20:08:35Z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0x010100A3B4ACA665C3C34DB50F127CFCE10043</vt:lpwstr>
  </property>
</Properties>
</file>